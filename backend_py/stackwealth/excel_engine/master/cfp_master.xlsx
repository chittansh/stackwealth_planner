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" yWindow="380" windowWidth="19160" windowHeight="11180" tabRatio="781" firstSheet="0" activeTab="0" autoFilterDateGrouping="1"/>
  </bookViews>
  <sheets>
    <sheet xmlns:r="http://schemas.openxmlformats.org/officeDocument/2006/relationships" name="Checks" sheetId="1" state="visible" r:id="rId1"/>
    <sheet xmlns:r="http://schemas.openxmlformats.org/officeDocument/2006/relationships" name="List of TABs" sheetId="2" state="visible" r:id="rId2"/>
    <sheet xmlns:r="http://schemas.openxmlformats.org/officeDocument/2006/relationships" name="Assumptions &amp; Computation" sheetId="3" state="visible" r:id="rId3"/>
    <sheet xmlns:r="http://schemas.openxmlformats.org/officeDocument/2006/relationships" name="YoY Cash Flow" sheetId="4" state="visible" r:id="rId4"/>
    <sheet xmlns:r="http://schemas.openxmlformats.org/officeDocument/2006/relationships" name="Debt Mgt" sheetId="5" state="visible" r:id="rId5"/>
    <sheet xmlns:r="http://schemas.openxmlformats.org/officeDocument/2006/relationships" name="Tax Planning" sheetId="6" state="visible" r:id="rId6"/>
    <sheet xmlns:r="http://schemas.openxmlformats.org/officeDocument/2006/relationships" name="Insurance Computation" sheetId="7" state="visible" r:id="rId7"/>
    <sheet xmlns:r="http://schemas.openxmlformats.org/officeDocument/2006/relationships" name="11. Inc Exp,Networth,Rec Invest" sheetId="8" state="visible" r:id="rId8"/>
    <sheet xmlns:r="http://schemas.openxmlformats.org/officeDocument/2006/relationships" name="Retirement Plan" sheetId="9" state="visible" r:id="rId9"/>
    <sheet xmlns:r="http://schemas.openxmlformats.org/officeDocument/2006/relationships" name="10_Financial_Goals" sheetId="10" state="visible" r:id="rId10"/>
    <sheet xmlns:r="http://schemas.openxmlformats.org/officeDocument/2006/relationships" name="1_Personal_Details" sheetId="11" state="visible" r:id="rId11"/>
    <sheet xmlns:r="http://schemas.openxmlformats.org/officeDocument/2006/relationships" name="2_Income" sheetId="12" state="visible" r:id="rId12"/>
    <sheet xmlns:r="http://schemas.openxmlformats.org/officeDocument/2006/relationships" name="3_Expenses " sheetId="13" state="visible" r:id="rId13"/>
    <sheet xmlns:r="http://schemas.openxmlformats.org/officeDocument/2006/relationships" name="7_Emergency_Fund" sheetId="14" state="visible" r:id="rId14"/>
    <sheet xmlns:r="http://schemas.openxmlformats.org/officeDocument/2006/relationships" name="4A_Mutual_Funds" sheetId="15" state="visible" r:id="rId15"/>
    <sheet xmlns:r="http://schemas.openxmlformats.org/officeDocument/2006/relationships" name="4B_Equity_Stocks" sheetId="16" state="visible" r:id="rId16"/>
    <sheet xmlns:r="http://schemas.openxmlformats.org/officeDocument/2006/relationships" name="4C_Fixed_Income" sheetId="17" state="visible" r:id="rId17"/>
    <sheet xmlns:r="http://schemas.openxmlformats.org/officeDocument/2006/relationships" name="5_Recurring_Investments" sheetId="18" state="visible" r:id="rId18"/>
    <sheet xmlns:r="http://schemas.openxmlformats.org/officeDocument/2006/relationships" name="4D_Real_Estate" sheetId="19" state="visible" r:id="rId19"/>
    <sheet xmlns:r="http://schemas.openxmlformats.org/officeDocument/2006/relationships" name="4E_Gold &amp; Others" sheetId="20" state="visible" r:id="rId20"/>
    <sheet xmlns:r="http://schemas.openxmlformats.org/officeDocument/2006/relationships" name="6_Liquid_Capital" sheetId="21" state="visible" r:id="rId21"/>
    <sheet xmlns:r="http://schemas.openxmlformats.org/officeDocument/2006/relationships" name="8_Loans_Liabilities" sheetId="22" state="visible" r:id="rId22"/>
    <sheet xmlns:r="http://schemas.openxmlformats.org/officeDocument/2006/relationships" name="9_Insurance_Details" sheetId="23" state="visible" r:id="rId23"/>
    <sheet xmlns:r="http://schemas.openxmlformats.org/officeDocument/2006/relationships" name="Retirement Plan-Case Study-NA" sheetId="24" state="hidden" r:id="rId24"/>
    <sheet xmlns:r="http://schemas.openxmlformats.org/officeDocument/2006/relationships" name="Asset Returns" sheetId="25" state="hidden" r:id="rId25"/>
    <sheet xmlns:r="http://schemas.openxmlformats.org/officeDocument/2006/relationships" name="Risk Questannaire" sheetId="26" state="hidden" r:id="rId26"/>
  </sheets>
  <definedNames>
    <definedName name="_xlnm._FilterDatabase" localSheetId="15" hidden="1">'4B_Equity_Stocks'!$B$1:$I$65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 * #,##0_ ;_ * \-#,##0_ ;_ * &quot;-&quot;??_ ;_ @_ "/>
    <numFmt numFmtId="165" formatCode="[$-F800]dddd\,\ mmmm\ dd\,\ yyyy"/>
    <numFmt numFmtId="166" formatCode="0.0%"/>
    <numFmt numFmtId="167" formatCode="_ * #,##0.0_ ;_ * \-#,##0.0_ ;_ * &quot;-&quot;??_ ;_ @_ "/>
    <numFmt numFmtId="168" formatCode="_ * #,##0.00_ ;_ * \-#,##0.00_ ;_ * &quot;-&quot;??_ ;_ @_ "/>
    <numFmt numFmtId="169" formatCode="&quot;₹&quot;\ #,##0.00;[Red]&quot;₹&quot;\ \-#,##0.00"/>
    <numFmt numFmtId="170" formatCode="&quot;₹&quot;\ #,##0;[Red]&quot;₹&quot;\ \-#,##0"/>
    <numFmt numFmtId="171" formatCode="#,##0.0"/>
  </numFmts>
  <fonts count="82">
    <font>
      <name val="Arial"/>
      <color rgb="FF000000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rgb="FF00000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b val="1"/>
      <color theme="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Times New Roman"/>
      <family val="1"/>
      <color theme="1"/>
      <sz val="11"/>
    </font>
    <font>
      <name val="Arial"/>
      <family val="2"/>
      <color theme="1"/>
      <sz val="12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b val="1"/>
      <color theme="1"/>
      <sz val="12"/>
      <scheme val="minor"/>
    </font>
    <font>
      <name val="Arial"/>
      <family val="2"/>
      <b val="1"/>
      <i val="1"/>
      <color theme="1"/>
      <sz val="12"/>
      <scheme val="minor"/>
    </font>
    <font>
      <name val="Times New Roman"/>
      <family val="1"/>
      <b val="1"/>
      <color theme="1"/>
      <sz val="11"/>
    </font>
    <font>
      <name val="Arial"/>
      <family val="2"/>
      <color rgb="FF000000"/>
      <sz val="11"/>
      <scheme val="minor"/>
    </font>
    <font>
      <name val="Arial"/>
      <family val="2"/>
      <color rgb="FF1D2228"/>
      <sz val="9"/>
    </font>
    <font>
      <name val="Arial"/>
      <family val="2"/>
      <color rgb="FF1D2228"/>
      <sz val="10"/>
    </font>
    <font>
      <name val="Arial"/>
      <family val="2"/>
      <color rgb="FF000000"/>
      <sz val="10"/>
    </font>
    <font>
      <name val="Arial"/>
      <family val="2"/>
      <color rgb="FF1D2228"/>
      <sz val="14"/>
    </font>
    <font>
      <name val="Arial"/>
      <family val="2"/>
      <b val="1"/>
      <color rgb="FFFFFFFF"/>
      <sz val="10.5"/>
      <scheme val="minor"/>
    </font>
    <font>
      <name val="Times New Roman"/>
      <family val="1"/>
      <color theme="1"/>
      <sz val="12"/>
    </font>
    <font>
      <name val="Arial"/>
      <family val="2"/>
      <b val="1"/>
      <color rgb="FFFFFFFF"/>
      <sz val="12"/>
      <scheme val="minor"/>
    </font>
    <font>
      <name val="Arial"/>
      <family val="2"/>
      <b val="1"/>
      <i val="1"/>
      <color theme="1"/>
      <sz val="11"/>
      <scheme val="minor"/>
    </font>
    <font>
      <name val="Arial"/>
      <family val="2"/>
      <b val="1"/>
      <i val="1"/>
      <color rgb="FFC00000"/>
      <sz val="11"/>
      <scheme val="minor"/>
    </font>
    <font>
      <name val="Arial"/>
      <family val="2"/>
      <b val="1"/>
      <color rgb="FFFF0000"/>
      <sz val="11"/>
      <scheme val="minor"/>
    </font>
    <font>
      <name val="Arial"/>
      <family val="2"/>
      <b val="1"/>
      <color rgb="FFFFFFFF"/>
      <sz val="8.5"/>
      <scheme val="minor"/>
    </font>
    <font>
      <name val="Arial"/>
      <family val="2"/>
      <b val="1"/>
      <color rgb="FF0070C0"/>
      <sz val="11"/>
      <scheme val="minor"/>
    </font>
    <font>
      <name val="Arial"/>
      <family val="2"/>
      <b val="1"/>
      <i val="1"/>
      <color rgb="FF0070C0"/>
      <sz val="11"/>
      <scheme val="minor"/>
    </font>
    <font>
      <name val="Arial"/>
      <family val="2"/>
      <color rgb="FF000000"/>
      <sz val="10"/>
      <scheme val="minor"/>
    </font>
    <font>
      <name val="Arial"/>
      <family val="2"/>
      <color rgb="FF3D3D3A"/>
      <sz val="10"/>
      <scheme val="minor"/>
    </font>
    <font>
      <name val="Arial"/>
      <family val="2"/>
      <color rgb="FF141413"/>
      <sz val="10"/>
      <scheme val="minor"/>
    </font>
    <font>
      <name val="Arial"/>
      <family val="2"/>
      <color rgb="FF633806"/>
      <sz val="10"/>
      <scheme val="minor"/>
    </font>
    <font>
      <name val="Arial"/>
      <family val="2"/>
      <color rgb="FF141413"/>
      <sz val="10"/>
      <scheme val="minor"/>
    </font>
    <font>
      <name val="Arial"/>
      <family val="2"/>
      <color rgb="FF27500A"/>
      <sz val="10"/>
      <scheme val="minor"/>
    </font>
    <font>
      <name val="Arial"/>
      <family val="2"/>
      <color rgb="FF3D3D3A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i val="1"/>
      <color rgb="FF000000"/>
      <sz val="10"/>
      <scheme val="minor"/>
    </font>
    <font>
      <name val="Arial"/>
      <family val="2"/>
      <i val="1"/>
      <color rgb="FF000000"/>
      <sz val="10"/>
      <scheme val="minor"/>
    </font>
    <font>
      <name val="Arial"/>
      <family val="2"/>
      <b val="1"/>
      <color theme="1"/>
      <sz val="16"/>
      <scheme val="minor"/>
    </font>
    <font>
      <name val="Arial"/>
      <family val="2"/>
      <b val="1"/>
      <i val="1"/>
      <color theme="1"/>
      <sz val="16"/>
      <scheme val="minor"/>
    </font>
    <font>
      <name val="Arial"/>
      <family val="2"/>
      <color rgb="FF000000"/>
      <sz val="16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  <u val="single"/>
    </font>
    <font>
      <name val="Arial"/>
      <family val="2"/>
      <color rgb="FF000000"/>
      <sz val="12"/>
    </font>
    <font>
      <name val="Calibri Light"/>
      <family val="2"/>
      <b val="1"/>
      <color rgb="FF000000"/>
      <sz val="12"/>
    </font>
    <font>
      <name val="Arial"/>
      <family val="2"/>
      <b val="1"/>
      <color rgb="FF000000"/>
      <sz val="12"/>
      <scheme val="minor"/>
    </font>
    <font>
      <name val="Arial"/>
      <family val="2"/>
      <b val="1"/>
      <color rgb="FF000000"/>
      <sz val="16"/>
      <scheme val="minor"/>
    </font>
    <font>
      <name val="Arial"/>
      <family val="2"/>
      <b val="1"/>
      <color rgb="FF000000"/>
      <sz val="13.5"/>
      <scheme val="minor"/>
    </font>
    <font>
      <name val="Arial"/>
      <family val="2"/>
      <b val="1"/>
      <color rgb="FF000000"/>
      <sz val="18"/>
      <scheme val="minor"/>
    </font>
    <font>
      <name val="Arial"/>
      <family val="2"/>
      <b val="1"/>
      <i val="1"/>
      <color rgb="FF000000"/>
      <sz val="11"/>
      <scheme val="minor"/>
    </font>
    <font>
      <name val="Arial"/>
      <family val="2"/>
      <b val="1"/>
      <color rgb="FF000000"/>
      <sz val="14"/>
      <scheme val="minor"/>
    </font>
    <font>
      <name val="Arial"/>
      <family val="2"/>
      <color rgb="FF000000"/>
      <sz val="14"/>
      <scheme val="minor"/>
    </font>
    <font>
      <name val="Calibri"/>
      <family val="2"/>
      <color rgb="FF000000"/>
      <sz val="18"/>
    </font>
    <font>
      <name val="Calibri"/>
      <family val="2"/>
      <color rgb="FF000000"/>
      <sz val="28"/>
    </font>
    <font>
      <name val="Arial"/>
      <family val="2"/>
      <color rgb="FF000000"/>
      <sz val="28"/>
      <scheme val="minor"/>
    </font>
    <font>
      <name val="Arial"/>
      <family val="2"/>
      <color rgb="FF000000"/>
      <sz val="14"/>
      <scheme val="major"/>
    </font>
    <font>
      <name val="Arial"/>
      <family val="2"/>
      <b val="1"/>
      <color rgb="FF000000"/>
      <sz val="14"/>
      <scheme val="major"/>
    </font>
    <font>
      <name val="Wingdings"/>
      <charset val="2"/>
      <color rgb="FF000000"/>
      <sz val="12"/>
    </font>
    <font>
      <name val="Book Antiqua"/>
      <family val="1"/>
      <b val="1"/>
      <color rgb="FF000000"/>
      <sz val="12"/>
    </font>
    <font>
      <name val="Arial"/>
      <family val="2"/>
      <color rgb="FF000000"/>
      <sz val="12"/>
      <scheme val="minor"/>
    </font>
    <font>
      <name val="Book Antiqua"/>
      <family val="1"/>
      <color rgb="FF000000"/>
      <sz val="12"/>
      <u val="single"/>
    </font>
    <font>
      <name val="Arial"/>
      <family val="2"/>
      <color theme="10"/>
      <sz val="11"/>
      <u val="single"/>
      <scheme val="minor"/>
    </font>
    <font>
      <name val="Arial"/>
      <family val="2"/>
      <i val="1"/>
      <color rgb="FF000000"/>
      <sz val="11"/>
      <scheme val="minor"/>
    </font>
    <font>
      <name val="Calibri"/>
      <family val="2"/>
      <color rgb="FF000000"/>
      <sz val="12"/>
    </font>
    <font>
      <name val="Times New Roman"/>
      <family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3"/>
    </font>
    <font>
      <name val="Times New Roman"/>
      <family val="1"/>
      <b val="1"/>
      <color rgb="FF000000"/>
      <sz val="7"/>
    </font>
    <font>
      <name val="Arial"/>
      <family val="2"/>
      <sz val="8"/>
      <scheme val="minor"/>
    </font>
    <font>
      <name val="Arial"/>
      <family val="2"/>
      <b val="1"/>
      <sz val="8.5"/>
      <scheme val="minor"/>
    </font>
    <font>
      <name val="Arial"/>
      <family val="2"/>
      <b val="1"/>
      <color rgb="FFFF0000"/>
      <sz val="10.5"/>
      <scheme val="minor"/>
    </font>
  </fonts>
  <fills count="28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A7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dash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ashed">
        <color rgb="FF000000"/>
      </bottom>
      <diagonal/>
    </border>
    <border>
      <left/>
      <right/>
      <top style="medium">
        <color rgb="FF000000"/>
      </top>
      <bottom style="dashed">
        <color rgb="FF000000"/>
      </bottom>
      <diagonal/>
    </border>
    <border>
      <left style="medium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/>
      <top style="dash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ashed">
        <color rgb="FF000000"/>
      </top>
      <bottom style="medium">
        <color rgb="FF000000"/>
      </bottom>
      <diagonal/>
    </border>
    <border>
      <left/>
      <right/>
      <top style="dash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</borders>
  <cellStyleXfs count="5">
    <xf numFmtId="0" fontId="0" fillId="0" borderId="0"/>
    <xf numFmtId="43" fontId="24" fillId="0" borderId="0"/>
    <xf numFmtId="41" fontId="11" fillId="0" borderId="0"/>
    <xf numFmtId="9" fontId="24" fillId="0" borderId="0"/>
    <xf numFmtId="0" fontId="71" fillId="0" borderId="0"/>
  </cellStyleXfs>
  <cellXfs count="531">
    <xf numFmtId="0" fontId="0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0" borderId="0" pivotButton="0" quotePrefix="0" xfId="0"/>
    <xf numFmtId="0" fontId="11" fillId="0" borderId="0" applyAlignment="1" pivotButton="0" quotePrefix="0" xfId="0">
      <alignment horizontal="left"/>
    </xf>
    <xf numFmtId="0" fontId="12" fillId="0" borderId="0" pivotButton="0" quotePrefix="0" xfId="0"/>
    <xf numFmtId="0" fontId="11" fillId="0" borderId="0" pivotButton="0" quotePrefix="0" xfId="0"/>
    <xf numFmtId="9" fontId="11" fillId="0" borderId="0" applyAlignment="1" pivotButton="0" quotePrefix="0" xfId="0">
      <alignment horizontal="left"/>
    </xf>
    <xf numFmtId="164" fontId="11" fillId="0" borderId="0" applyAlignment="1" pivotButton="0" quotePrefix="0" xfId="1">
      <alignment horizontal="left"/>
    </xf>
    <xf numFmtId="4" fontId="11" fillId="0" borderId="0" applyAlignment="1" pivotButton="0" quotePrefix="0" xfId="0">
      <alignment horizontal="left"/>
    </xf>
    <xf numFmtId="0" fontId="12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165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1" xfId="0">
      <alignment vertical="center" wrapText="1"/>
    </xf>
    <xf numFmtId="3" fontId="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13" fillId="0" borderId="0" pivotButton="0" quotePrefix="0" xfId="0"/>
    <xf numFmtId="0" fontId="16" fillId="0" borderId="2" pivotButton="0" quotePrefix="0" xfId="0"/>
    <xf numFmtId="0" fontId="17" fillId="0" borderId="2" pivotButton="0" quotePrefix="0" xfId="0"/>
    <xf numFmtId="0" fontId="17" fillId="0" borderId="3" applyAlignment="1" pivotButton="0" quotePrefix="0" xfId="0">
      <alignment horizontal="left"/>
    </xf>
    <xf numFmtId="0" fontId="17" fillId="0" borderId="3" applyAlignment="1" pivotButton="0" quotePrefix="0" xfId="0">
      <alignment horizontal="center"/>
    </xf>
    <xf numFmtId="0" fontId="15" fillId="4" borderId="2" applyAlignment="1" pivotButton="0" quotePrefix="0" xfId="0">
      <alignment vertical="center" wrapText="1"/>
    </xf>
    <xf numFmtId="0" fontId="18" fillId="0" borderId="2" applyAlignment="1" pivotButton="0" quotePrefix="0" xfId="0">
      <alignment vertical="center" wrapText="1"/>
    </xf>
    <xf numFmtId="0" fontId="19" fillId="0" borderId="2" applyAlignment="1" pivotButton="0" quotePrefix="0" xfId="0">
      <alignment vertical="center" wrapText="1"/>
    </xf>
    <xf numFmtId="164" fontId="18" fillId="0" borderId="2" applyAlignment="1" pivotButton="0" quotePrefix="0" xfId="1">
      <alignment vertical="center" wrapText="1"/>
    </xf>
    <xf numFmtId="164" fontId="19" fillId="0" borderId="2" applyAlignment="1" pivotButton="0" quotePrefix="0" xfId="1">
      <alignment horizontal="right" vertical="center" wrapText="1"/>
    </xf>
    <xf numFmtId="0" fontId="13" fillId="0" borderId="2" pivotButton="0" quotePrefix="0" xfId="0"/>
    <xf numFmtId="0" fontId="0" fillId="2" borderId="2" pivotButton="0" quotePrefix="0" xfId="0"/>
    <xf numFmtId="0" fontId="12" fillId="2" borderId="2" pivotButton="0" quotePrefix="0" xfId="0"/>
    <xf numFmtId="0" fontId="14" fillId="0" borderId="0" applyAlignment="1" pivotButton="0" quotePrefix="0" xfId="0">
      <alignment horizontal="right"/>
    </xf>
    <xf numFmtId="0" fontId="19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vertical="center" wrapText="1"/>
    </xf>
    <xf numFmtId="0" fontId="21" fillId="5" borderId="2" applyAlignment="1" pivotButton="0" quotePrefix="0" xfId="0">
      <alignment vertical="center" wrapText="1"/>
    </xf>
    <xf numFmtId="0" fontId="18" fillId="6" borderId="2" applyAlignment="1" pivotButton="0" quotePrefix="0" xfId="0">
      <alignment vertical="center" wrapText="1"/>
    </xf>
    <xf numFmtId="0" fontId="21" fillId="6" borderId="2" applyAlignment="1" pivotButton="0" quotePrefix="0" xfId="0">
      <alignment vertical="center" wrapText="1"/>
    </xf>
    <xf numFmtId="164" fontId="21" fillId="6" borderId="2" applyAlignment="1" pivotButton="0" quotePrefix="0" xfId="1">
      <alignment horizontal="right" vertical="center" wrapText="1"/>
    </xf>
    <xf numFmtId="164" fontId="18" fillId="5" borderId="2" applyAlignment="1" pivotButton="0" quotePrefix="0" xfId="1">
      <alignment vertical="center" wrapText="1"/>
    </xf>
    <xf numFmtId="0" fontId="19" fillId="7" borderId="2" applyAlignment="1" pivotButton="0" quotePrefix="0" xfId="0">
      <alignment vertical="center" wrapText="1"/>
    </xf>
    <xf numFmtId="0" fontId="22" fillId="7" borderId="2" applyAlignment="1" pivotButton="0" quotePrefix="0" xfId="0">
      <alignment vertical="center" wrapText="1"/>
    </xf>
    <xf numFmtId="3" fontId="21" fillId="5" borderId="2" applyAlignment="1" pivotButton="0" quotePrefix="0" xfId="0">
      <alignment horizontal="right"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3" fontId="19" fillId="0" borderId="0" applyAlignment="1" pivotButton="0" quotePrefix="0" xfId="0">
      <alignment horizontal="right" vertical="center" wrapText="1"/>
    </xf>
    <xf numFmtId="0" fontId="11" fillId="0" borderId="2" pivotButton="0" quotePrefix="0" xfId="0"/>
    <xf numFmtId="164" fontId="11" fillId="0" borderId="2" applyAlignment="1" pivotButton="0" quotePrefix="0" xfId="1">
      <alignment horizontal="left"/>
    </xf>
    <xf numFmtId="0" fontId="0" fillId="0" borderId="2" pivotButton="0" quotePrefix="0" xfId="0"/>
    <xf numFmtId="0" fontId="11" fillId="0" borderId="2" applyAlignment="1" pivotButton="0" quotePrefix="0" xfId="0">
      <alignment horizontal="left"/>
    </xf>
    <xf numFmtId="0" fontId="23" fillId="3" borderId="2" applyAlignment="1" pivotButton="0" quotePrefix="0" xfId="0">
      <alignment vertical="center" wrapText="1"/>
    </xf>
    <xf numFmtId="0" fontId="21" fillId="3" borderId="2" applyAlignment="1" pivotButton="0" quotePrefix="0" xfId="0">
      <alignment vertical="center" wrapText="1"/>
    </xf>
    <xf numFmtId="3" fontId="21" fillId="3" borderId="2" applyAlignment="1" pivotButton="0" quotePrefix="0" xfId="0">
      <alignment horizontal="right" vertical="center" wrapText="1"/>
    </xf>
    <xf numFmtId="3" fontId="19" fillId="3" borderId="2" applyAlignment="1" pivotButton="0" quotePrefix="0" xfId="0">
      <alignment horizontal="right" vertical="center" wrapText="1"/>
    </xf>
    <xf numFmtId="164" fontId="19" fillId="0" borderId="0" applyAlignment="1" pivotButton="0" quotePrefix="0" xfId="1">
      <alignment horizontal="right" vertical="center" wrapText="1"/>
    </xf>
    <xf numFmtId="0" fontId="15" fillId="4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1" fillId="0" borderId="4" pivotButton="0" quotePrefix="0" xfId="0"/>
    <xf numFmtId="0" fontId="20" fillId="0" borderId="0" pivotButton="0" quotePrefix="0" xfId="0"/>
    <xf numFmtId="0" fontId="10" fillId="0" borderId="2" pivotButton="0" quotePrefix="0" xfId="0"/>
    <xf numFmtId="0" fontId="20" fillId="8" borderId="2" pivotButton="0" quotePrefix="0" xfId="0"/>
    <xf numFmtId="0" fontId="12" fillId="8" borderId="2" applyAlignment="1" pivotButton="0" quotePrefix="0" xfId="0">
      <alignment horizontal="left"/>
    </xf>
    <xf numFmtId="164" fontId="0" fillId="0" borderId="2" pivotButton="0" quotePrefix="0" xfId="1"/>
    <xf numFmtId="164" fontId="21" fillId="5" borderId="2" applyAlignment="1" pivotButton="0" quotePrefix="0" xfId="1">
      <alignment horizontal="right" vertical="center" wrapText="1"/>
    </xf>
    <xf numFmtId="164" fontId="21" fillId="3" borderId="2" applyAlignment="1" pivotButton="0" quotePrefix="0" xfId="1">
      <alignment horizontal="right" vertical="center" wrapText="1"/>
    </xf>
    <xf numFmtId="4" fontId="11" fillId="0" borderId="2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8" borderId="10" pivotButton="0" quotePrefix="0" xfId="0"/>
    <xf numFmtId="0" fontId="0" fillId="8" borderId="3" pivotButton="0" quotePrefix="0" xfId="0"/>
    <xf numFmtId="164" fontId="11" fillId="8" borderId="2" applyAlignment="1" pivotButton="0" quotePrefix="0" xfId="0">
      <alignment horizontal="left"/>
    </xf>
    <xf numFmtId="0" fontId="0" fillId="8" borderId="2" pivotButton="0" quotePrefix="0" xfId="0"/>
    <xf numFmtId="4" fontId="20" fillId="8" borderId="2" pivotButton="0" quotePrefix="0" xfId="0"/>
    <xf numFmtId="0" fontId="9" fillId="8" borderId="2" pivotButton="0" quotePrefix="0" xfId="0"/>
    <xf numFmtId="0" fontId="0" fillId="8" borderId="6" pivotButton="0" quotePrefix="0" xfId="0"/>
    <xf numFmtId="0" fontId="0" fillId="8" borderId="7" pivotButton="0" quotePrefix="0" xfId="0"/>
    <xf numFmtId="0" fontId="0" fillId="8" borderId="8" pivotButton="0" quotePrefix="0" xfId="0"/>
    <xf numFmtId="0" fontId="10" fillId="0" borderId="11" pivotButton="0" quotePrefix="0" xfId="0"/>
    <xf numFmtId="164" fontId="11" fillId="0" borderId="11" applyAlignment="1" pivotButton="0" quotePrefix="0" xfId="1">
      <alignment horizontal="left"/>
    </xf>
    <xf numFmtId="0" fontId="11" fillId="0" borderId="11" pivotButton="0" quotePrefix="0" xfId="0"/>
    <xf numFmtId="164" fontId="10" fillId="0" borderId="11" applyAlignment="1" pivotButton="0" quotePrefix="0" xfId="1">
      <alignment horizontal="left"/>
    </xf>
    <xf numFmtId="0" fontId="11" fillId="0" borderId="11" applyAlignment="1" pivotButton="0" quotePrefix="0" xfId="0">
      <alignment horizontal="left"/>
    </xf>
    <xf numFmtId="0" fontId="10" fillId="8" borderId="2" pivotButton="0" quotePrefix="0" xfId="0"/>
    <xf numFmtId="164" fontId="9" fillId="8" borderId="2" applyAlignment="1" pivotButton="0" quotePrefix="0" xfId="1">
      <alignment horizontal="left"/>
    </xf>
    <xf numFmtId="3" fontId="11" fillId="0" borderId="0" pivotButton="0" quotePrefix="0" xfId="0"/>
    <xf numFmtId="0" fontId="11" fillId="9" borderId="0" applyAlignment="1" pivotButton="0" quotePrefix="0" xfId="0">
      <alignment horizontal="left"/>
    </xf>
    <xf numFmtId="164" fontId="7" fillId="0" borderId="0" applyAlignment="1" pivotButton="0" quotePrefix="0" xfId="1">
      <alignment horizontal="left"/>
    </xf>
    <xf numFmtId="164" fontId="11" fillId="10" borderId="0" applyAlignment="1" pivotButton="0" quotePrefix="0" xfId="1">
      <alignment horizontal="left"/>
    </xf>
    <xf numFmtId="164" fontId="7" fillId="10" borderId="0" applyAlignment="1" pivotButton="0" quotePrefix="0" xfId="1">
      <alignment horizontal="left"/>
    </xf>
    <xf numFmtId="166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3"/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13" fillId="0" borderId="5" pivotButton="0" quotePrefix="0" xfId="0"/>
    <xf numFmtId="0" fontId="13" fillId="0" borderId="11" pivotButton="0" quotePrefix="0" xfId="0"/>
    <xf numFmtId="164" fontId="0" fillId="0" borderId="0" pivotButton="0" quotePrefix="0" xfId="1"/>
    <xf numFmtId="164" fontId="0" fillId="0" borderId="0" pivotButton="0" quotePrefix="0" xfId="1"/>
    <xf numFmtId="164" fontId="12" fillId="0" borderId="0" pivotButton="0" quotePrefix="0" xfId="1"/>
    <xf numFmtId="164" fontId="12" fillId="8" borderId="2" applyAlignment="1" pivotButton="0" quotePrefix="0" xfId="1">
      <alignment horizontal="left"/>
    </xf>
    <xf numFmtId="17" fontId="0" fillId="0" borderId="2" pivotButton="0" quotePrefix="0" xfId="0"/>
    <xf numFmtId="17" fontId="13" fillId="0" borderId="2" pivotButton="0" quotePrefix="0" xfId="0"/>
    <xf numFmtId="4" fontId="0" fillId="0" borderId="11" pivotButton="0" quotePrefix="0" xfId="0"/>
    <xf numFmtId="4" fontId="11" fillId="0" borderId="11" pivotButton="0" quotePrefix="0" xfId="0"/>
    <xf numFmtId="0" fontId="6" fillId="0" borderId="11" pivotButton="0" quotePrefix="0" xfId="0"/>
    <xf numFmtId="0" fontId="18" fillId="11" borderId="2" applyAlignment="1" pivotButton="0" quotePrefix="0" xfId="0">
      <alignment vertical="center" wrapText="1"/>
    </xf>
    <xf numFmtId="0" fontId="21" fillId="11" borderId="2" applyAlignment="1" pivotButton="0" quotePrefix="0" xfId="0">
      <alignment vertical="center" wrapText="1"/>
    </xf>
    <xf numFmtId="3" fontId="19" fillId="11" borderId="2" applyAlignment="1" pivotButton="0" quotePrefix="0" xfId="0">
      <alignment horizontal="right" vertical="center" wrapText="1"/>
    </xf>
    <xf numFmtId="0" fontId="21" fillId="0" borderId="0" applyAlignment="1" pivotButton="0" quotePrefix="0" xfId="0">
      <alignment vertical="center" wrapText="1"/>
    </xf>
    <xf numFmtId="165" fontId="0" fillId="0" borderId="0" pivotButton="0" quotePrefix="0" xfId="0"/>
    <xf numFmtId="165" fontId="17" fillId="0" borderId="2" pivotButton="0" quotePrefix="0" xfId="0"/>
    <xf numFmtId="167" fontId="17" fillId="0" borderId="2" pivotButton="0" quotePrefix="0" xfId="1"/>
    <xf numFmtId="164" fontId="11" fillId="8" borderId="0" applyAlignment="1" pivotButton="0" quotePrefix="0" xfId="0">
      <alignment horizontal="left"/>
    </xf>
    <xf numFmtId="164" fontId="7" fillId="8" borderId="0" applyAlignment="1" pivotButton="0" quotePrefix="0" xfId="1">
      <alignment horizontal="left"/>
    </xf>
    <xf numFmtId="0" fontId="6" fillId="0" borderId="2" pivotButton="0" quotePrefix="0" xfId="0"/>
    <xf numFmtId="0" fontId="12" fillId="12" borderId="0" pivotButton="0" quotePrefix="0" xfId="0"/>
    <xf numFmtId="0" fontId="0" fillId="12" borderId="0" pivotButton="0" quotePrefix="0" xfId="0"/>
    <xf numFmtId="10" fontId="0" fillId="0" borderId="0" pivotButton="0" quotePrefix="0" xfId="0"/>
    <xf numFmtId="0" fontId="12" fillId="13" borderId="0" pivotButton="0" quotePrefix="0" xfId="0"/>
    <xf numFmtId="0" fontId="0" fillId="0" borderId="0" applyAlignment="1" pivotButton="0" quotePrefix="0" xfId="0">
      <alignment wrapText="1"/>
    </xf>
    <xf numFmtId="168" fontId="0" fillId="0" borderId="0" pivotButton="0" quotePrefix="0" xfId="0"/>
    <xf numFmtId="0" fontId="29" fillId="14" borderId="13" applyAlignment="1" pivotButton="0" quotePrefix="0" xfId="0">
      <alignment vertical="center" wrapText="1"/>
    </xf>
    <xf numFmtId="0" fontId="19" fillId="0" borderId="14" applyAlignment="1" pivotButton="0" quotePrefix="0" xfId="0">
      <alignment vertical="center" wrapText="1"/>
    </xf>
    <xf numFmtId="0" fontId="30" fillId="0" borderId="15" applyAlignment="1" pivotButton="0" quotePrefix="0" xfId="0">
      <alignment vertical="center" wrapText="1"/>
    </xf>
    <xf numFmtId="0" fontId="19" fillId="0" borderId="15" applyAlignment="1" pivotButton="0" quotePrefix="0" xfId="0">
      <alignment vertical="center" wrapText="1"/>
    </xf>
    <xf numFmtId="10" fontId="19" fillId="0" borderId="15" applyAlignment="1" pivotButton="0" quotePrefix="0" xfId="0">
      <alignment vertical="center" wrapText="1"/>
    </xf>
    <xf numFmtId="3" fontId="19" fillId="0" borderId="15" applyAlignment="1" pivotButton="0" quotePrefix="0" xfId="0">
      <alignment vertical="center" wrapText="1"/>
    </xf>
    <xf numFmtId="0" fontId="30" fillId="0" borderId="14" applyAlignment="1" pivotButton="0" quotePrefix="0" xfId="0">
      <alignment vertical="center" wrapText="1"/>
    </xf>
    <xf numFmtId="0" fontId="19" fillId="0" borderId="15" applyAlignment="1" pivotButton="0" quotePrefix="0" xfId="0">
      <alignment horizontal="right" vertical="center" wrapText="1"/>
    </xf>
    <xf numFmtId="0" fontId="31" fillId="14" borderId="14" applyAlignment="1" pivotButton="0" quotePrefix="0" xfId="0">
      <alignment vertical="center" wrapText="1"/>
    </xf>
    <xf numFmtId="0" fontId="30" fillId="14" borderId="15" applyAlignment="1" pivotButton="0" quotePrefix="0" xfId="0">
      <alignment vertical="center" wrapText="1"/>
    </xf>
    <xf numFmtId="0" fontId="31" fillId="14" borderId="15" applyAlignment="1" pivotButton="0" quotePrefix="0" xfId="0">
      <alignment vertical="center" wrapText="1"/>
    </xf>
    <xf numFmtId="169" fontId="31" fillId="14" borderId="15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9" fillId="0" borderId="0" pivotButton="0" quotePrefix="0" xfId="0"/>
    <xf numFmtId="9" fontId="19" fillId="0" borderId="15" applyAlignment="1" pivotButton="0" quotePrefix="0" xfId="0">
      <alignment vertical="center" wrapText="1"/>
    </xf>
    <xf numFmtId="169" fontId="19" fillId="0" borderId="15" applyAlignment="1" pivotButton="0" quotePrefix="0" xfId="0">
      <alignment vertical="center" wrapText="1"/>
    </xf>
    <xf numFmtId="169" fontId="0" fillId="0" borderId="0" pivotButton="0" quotePrefix="0" xfId="0"/>
    <xf numFmtId="0" fontId="19" fillId="0" borderId="18" applyAlignment="1" pivotButton="0" quotePrefix="0" xfId="0">
      <alignment vertical="center" wrapText="1"/>
    </xf>
    <xf numFmtId="168" fontId="19" fillId="0" borderId="15" applyAlignment="1" pivotButton="0" quotePrefix="0" xfId="1">
      <alignment vertical="center" wrapText="1"/>
    </xf>
    <xf numFmtId="0" fontId="21" fillId="7" borderId="0" pivotButton="0" quotePrefix="0" xfId="0"/>
    <xf numFmtId="169" fontId="21" fillId="7" borderId="0" pivotButton="0" quotePrefix="0" xfId="0"/>
    <xf numFmtId="4" fontId="0" fillId="0" borderId="0" pivotButton="0" quotePrefix="0" xfId="0"/>
    <xf numFmtId="0" fontId="3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3" fillId="0" borderId="0" pivotButton="0" quotePrefix="0" xfId="0"/>
    <xf numFmtId="10" fontId="0" fillId="0" borderId="0" pivotButton="0" quotePrefix="0" xfId="1"/>
    <xf numFmtId="0" fontId="35" fillId="14" borderId="18" applyAlignment="1" pivotButton="0" quotePrefix="0" xfId="0">
      <alignment horizontal="center" vertical="center" wrapText="1"/>
    </xf>
    <xf numFmtId="164" fontId="0" fillId="0" borderId="2" pivotButton="0" quotePrefix="0" xfId="0"/>
    <xf numFmtId="164" fontId="0" fillId="0" borderId="2" pivotButton="0" quotePrefix="0" xfId="1"/>
    <xf numFmtId="0" fontId="37" fillId="0" borderId="0" pivotButton="0" quotePrefix="0" xfId="0"/>
    <xf numFmtId="0" fontId="17" fillId="0" borderId="0" applyAlignment="1" pivotButton="0" quotePrefix="0" xfId="0">
      <alignment horizontal="left"/>
    </xf>
    <xf numFmtId="164" fontId="17" fillId="0" borderId="0" applyAlignment="1" pivotButton="0" quotePrefix="0" xfId="1">
      <alignment horizontal="left"/>
    </xf>
    <xf numFmtId="164" fontId="12" fillId="0" borderId="0" pivotButton="0" quotePrefix="0" xfId="0"/>
    <xf numFmtId="0" fontId="16" fillId="10" borderId="2" applyAlignment="1" pivotButton="0" quotePrefix="0" xfId="0">
      <alignment vertical="center" wrapText="1"/>
    </xf>
    <xf numFmtId="0" fontId="12" fillId="0" borderId="2" applyAlignment="1" pivotButton="0" quotePrefix="0" xfId="0">
      <alignment horizontal="left"/>
    </xf>
    <xf numFmtId="0" fontId="12" fillId="0" borderId="2" applyAlignment="1" pivotButton="0" quotePrefix="0" xfId="0">
      <alignment horizontal="center"/>
    </xf>
    <xf numFmtId="0" fontId="5" fillId="6" borderId="2" pivotButton="0" quotePrefix="0" xfId="0"/>
    <xf numFmtId="0" fontId="5" fillId="0" borderId="2" pivotButton="0" quotePrefix="0" xfId="0"/>
    <xf numFmtId="0" fontId="0" fillId="6" borderId="2" pivotButton="0" quotePrefix="0" xfId="0"/>
    <xf numFmtId="169" fontId="5" fillId="0" borderId="2" pivotButton="0" quotePrefix="0" xfId="0"/>
    <xf numFmtId="169" fontId="0" fillId="0" borderId="2" pivotButton="0" quotePrefix="0" xfId="0"/>
    <xf numFmtId="168" fontId="0" fillId="6" borderId="2" pivotButton="0" quotePrefix="0" xfId="0"/>
    <xf numFmtId="4" fontId="0" fillId="0" borderId="2" pivotButton="0" quotePrefix="0" xfId="0"/>
    <xf numFmtId="168" fontId="0" fillId="0" borderId="2" pivotButton="0" quotePrefix="0" xfId="0"/>
    <xf numFmtId="164" fontId="12" fillId="6" borderId="2" pivotButton="0" quotePrefix="0" xfId="1"/>
    <xf numFmtId="164" fontId="0" fillId="0" borderId="7" pivotButton="0" quotePrefix="0" xfId="1"/>
    <xf numFmtId="164" fontId="0" fillId="8" borderId="9" pivotButton="0" quotePrefix="0" xfId="1"/>
    <xf numFmtId="0" fontId="4" fillId="0" borderId="0" pivotButton="0" quotePrefix="0" xfId="0"/>
    <xf numFmtId="0" fontId="16" fillId="0" borderId="0" applyAlignment="1" pivotButton="0" quotePrefix="0" xfId="0">
      <alignment vertical="center"/>
    </xf>
    <xf numFmtId="0" fontId="38" fillId="0" borderId="0" pivotButton="0" quotePrefix="0" xfId="0"/>
    <xf numFmtId="0" fontId="16" fillId="0" borderId="0" pivotButton="0" quotePrefix="0" xfId="0"/>
    <xf numFmtId="0" fontId="38" fillId="0" borderId="0" applyAlignment="1" pivotButton="0" quotePrefix="0" xfId="0">
      <alignment horizontal="left" vertical="center" indent="1"/>
    </xf>
    <xf numFmtId="164" fontId="0" fillId="0" borderId="11" pivotButton="0" quotePrefix="0" xfId="0"/>
    <xf numFmtId="0" fontId="11" fillId="15" borderId="11" applyAlignment="1" pivotButton="0" quotePrefix="0" xfId="0">
      <alignment horizontal="left"/>
    </xf>
    <xf numFmtId="164" fontId="11" fillId="15" borderId="11" applyAlignment="1" pivotButton="0" quotePrefix="0" xfId="1">
      <alignment horizontal="left"/>
    </xf>
    <xf numFmtId="4" fontId="11" fillId="15" borderId="11" applyAlignment="1" pivotButton="0" quotePrefix="0" xfId="0">
      <alignment horizontal="left"/>
    </xf>
    <xf numFmtId="164" fontId="11" fillId="0" borderId="2" pivotButton="0" quotePrefix="0" xfId="1"/>
    <xf numFmtId="0" fontId="39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left" vertical="center" indent="1"/>
    </xf>
    <xf numFmtId="0" fontId="45" fillId="0" borderId="0" pivotButton="0" quotePrefix="0" xfId="0"/>
    <xf numFmtId="0" fontId="46" fillId="15" borderId="0" applyAlignment="1" pivotButton="0" quotePrefix="0" xfId="0">
      <alignment horizontal="left" vertical="center" indent="1"/>
    </xf>
    <xf numFmtId="0" fontId="11" fillId="15" borderId="0" applyAlignment="1" pivotButton="0" quotePrefix="0" xfId="0">
      <alignment horizontal="left"/>
    </xf>
    <xf numFmtId="0" fontId="13" fillId="15" borderId="0" pivotButton="0" quotePrefix="0" xfId="0"/>
    <xf numFmtId="0" fontId="3" fillId="15" borderId="0" applyAlignment="1" pivotButton="0" quotePrefix="0" xfId="0">
      <alignment horizontal="left"/>
    </xf>
    <xf numFmtId="166" fontId="11" fillId="0" borderId="0" applyAlignment="1" pivotButton="0" quotePrefix="0" xfId="0">
      <alignment horizontal="left"/>
    </xf>
    <xf numFmtId="0" fontId="0" fillId="16" borderId="24" pivotButton="0" quotePrefix="0" xfId="0"/>
    <xf numFmtId="0" fontId="0" fillId="17" borderId="27" pivotButton="0" quotePrefix="0" xfId="0"/>
    <xf numFmtId="0" fontId="0" fillId="17" borderId="0" applyAlignment="1" pivotButton="0" quotePrefix="0" xfId="0">
      <alignment vertical="center"/>
    </xf>
    <xf numFmtId="0" fontId="0" fillId="17" borderId="0" applyAlignment="1" pivotButton="0" quotePrefix="0" xfId="0">
      <alignment horizontal="right" vertical="center"/>
    </xf>
    <xf numFmtId="164" fontId="3" fillId="18" borderId="3" pivotButton="0" quotePrefix="0" xfId="1"/>
    <xf numFmtId="0" fontId="0" fillId="0" borderId="29" applyAlignment="1" pivotButton="0" quotePrefix="0" xfId="0">
      <alignment horizontal="center"/>
    </xf>
    <xf numFmtId="0" fontId="0" fillId="17" borderId="0" pivotButton="0" quotePrefix="0" xfId="0"/>
    <xf numFmtId="0" fontId="0" fillId="17" borderId="0" applyAlignment="1" pivotButton="0" quotePrefix="0" xfId="0">
      <alignment horizontal="right"/>
    </xf>
    <xf numFmtId="0" fontId="3" fillId="18" borderId="3" pivotButton="0" quotePrefix="0" xfId="0"/>
    <xf numFmtId="0" fontId="0" fillId="0" borderId="30" applyAlignment="1" pivotButton="0" quotePrefix="0" xfId="0">
      <alignment horizontal="center"/>
    </xf>
    <xf numFmtId="0" fontId="3" fillId="18" borderId="6" pivotButton="0" quotePrefix="0" xfId="0"/>
    <xf numFmtId="0" fontId="3" fillId="6" borderId="6" pivotButton="0" quotePrefix="0" xfId="0"/>
    <xf numFmtId="166" fontId="3" fillId="6" borderId="6" pivotButton="0" quotePrefix="0" xfId="0"/>
    <xf numFmtId="164" fontId="3" fillId="19" borderId="6" pivotButton="0" quotePrefix="0" xfId="0"/>
    <xf numFmtId="164" fontId="3" fillId="19" borderId="25" pivotButton="0" quotePrefix="0" xfId="0"/>
    <xf numFmtId="164" fontId="3" fillId="19" borderId="26" pivotButton="0" quotePrefix="0" xfId="0"/>
    <xf numFmtId="164" fontId="3" fillId="19" borderId="31" pivotButton="0" quotePrefix="0" xfId="0"/>
    <xf numFmtId="0" fontId="12" fillId="0" borderId="27" pivotButton="0" quotePrefix="0" xfId="0"/>
    <xf numFmtId="0" fontId="0" fillId="0" borderId="32" pivotButton="0" quotePrefix="0" xfId="0"/>
    <xf numFmtId="164" fontId="3" fillId="19" borderId="32" pivotButton="0" quotePrefix="0" xfId="0"/>
    <xf numFmtId="0" fontId="3" fillId="18" borderId="33" pivotButton="0" quotePrefix="0" xfId="0"/>
    <xf numFmtId="0" fontId="0" fillId="17" borderId="34" pivotButton="0" quotePrefix="0" xfId="0"/>
    <xf numFmtId="0" fontId="0" fillId="17" borderId="35" pivotButton="0" quotePrefix="0" xfId="0"/>
    <xf numFmtId="164" fontId="3" fillId="19" borderId="36" pivotButton="0" quotePrefix="0" xfId="0"/>
    <xf numFmtId="0" fontId="13" fillId="17" borderId="0" applyAlignment="1" pivotButton="0" quotePrefix="0" xfId="0">
      <alignment horizontal="right" vertical="center"/>
    </xf>
    <xf numFmtId="166" fontId="3" fillId="15" borderId="6" pivotButton="0" quotePrefix="0" xfId="0"/>
    <xf numFmtId="0" fontId="0" fillId="20" borderId="0" pivotButton="0" quotePrefix="0" xfId="0"/>
    <xf numFmtId="0" fontId="51" fillId="0" borderId="0" applyAlignment="1" pivotButton="0" quotePrefix="0" xfId="0">
      <alignment horizontal="left" vertical="center" readingOrder="1"/>
    </xf>
    <xf numFmtId="0" fontId="13" fillId="0" borderId="0" applyAlignment="1" pivotButton="0" quotePrefix="0" xfId="0">
      <alignment horizontal="left" vertical="center" indent="10" readingOrder="1"/>
    </xf>
    <xf numFmtId="0" fontId="50" fillId="0" borderId="0" applyAlignment="1" pivotButton="0" quotePrefix="0" xfId="0">
      <alignment horizontal="left" vertical="center" indent="2" readingOrder="1"/>
    </xf>
    <xf numFmtId="0" fontId="53" fillId="0" borderId="0" pivotButton="0" quotePrefix="0" xfId="0"/>
    <xf numFmtId="0" fontId="0" fillId="3" borderId="0" pivotButton="0" quotePrefix="0" xfId="0"/>
    <xf numFmtId="0" fontId="20" fillId="3" borderId="0" pivotButton="0" quotePrefix="0" xfId="0"/>
    <xf numFmtId="0" fontId="54" fillId="3" borderId="0" pivotButton="0" quotePrefix="0" xfId="0"/>
    <xf numFmtId="0" fontId="55" fillId="3" borderId="0" pivotButton="0" quotePrefix="0" xfId="0"/>
    <xf numFmtId="0" fontId="21" fillId="3" borderId="0" pivotButton="0" quotePrefix="0" xfId="0"/>
    <xf numFmtId="0" fontId="56" fillId="0" borderId="0" pivotButton="0" quotePrefix="0" xfId="0"/>
    <xf numFmtId="0" fontId="13" fillId="0" borderId="0" applyAlignment="1" pivotButton="0" quotePrefix="0" xfId="0">
      <alignment vertical="center" wrapText="1"/>
    </xf>
    <xf numFmtId="0" fontId="57" fillId="0" borderId="0" applyAlignment="1" pivotButton="0" quotePrefix="0" xfId="0">
      <alignment vertical="center"/>
    </xf>
    <xf numFmtId="0" fontId="5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2"/>
    </xf>
    <xf numFmtId="0" fontId="13" fillId="15" borderId="0" applyAlignment="1" pivotButton="0" quotePrefix="0" xfId="0">
      <alignment horizontal="left" vertical="center" indent="1"/>
    </xf>
    <xf numFmtId="0" fontId="0" fillId="21" borderId="0" pivotButton="0" quotePrefix="0" xfId="0"/>
    <xf numFmtId="0" fontId="57" fillId="21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3" fillId="0" borderId="25" applyAlignment="1" pivotButton="0" quotePrefix="0" xfId="0">
      <alignment horizontal="left" vertical="center" wrapText="1"/>
    </xf>
    <xf numFmtId="164" fontId="13" fillId="0" borderId="31" applyAlignment="1" pivotButton="0" quotePrefix="0" xfId="1">
      <alignment vertical="center" wrapText="1"/>
    </xf>
    <xf numFmtId="0" fontId="13" fillId="0" borderId="27" applyAlignment="1" pivotButton="0" quotePrefix="0" xfId="0">
      <alignment horizontal="left" vertical="center" wrapText="1"/>
    </xf>
    <xf numFmtId="164" fontId="13" fillId="0" borderId="32" pivotButton="0" quotePrefix="0" xfId="1"/>
    <xf numFmtId="0" fontId="20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wrapText="1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1" xfId="0">
      <alignment vertical="center" wrapText="1"/>
    </xf>
    <xf numFmtId="3" fontId="0" fillId="0" borderId="2" pivotButton="0" quotePrefix="0" xfId="0"/>
    <xf numFmtId="0" fontId="20" fillId="3" borderId="3" applyAlignment="1" pivotButton="0" quotePrefix="0" xfId="0">
      <alignment wrapText="1"/>
    </xf>
    <xf numFmtId="0" fontId="0" fillId="0" borderId="3" pivotButton="0" quotePrefix="0" xfId="0"/>
    <xf numFmtId="0" fontId="13" fillId="0" borderId="3" pivotButton="0" quotePrefix="0" xfId="0"/>
    <xf numFmtId="0" fontId="13" fillId="22" borderId="2" applyAlignment="1" pivotButton="0" quotePrefix="0" xfId="0">
      <alignment vertical="center" wrapText="1"/>
    </xf>
    <xf numFmtId="0" fontId="0" fillId="22" borderId="2" pivotButton="0" quotePrefix="0" xfId="0"/>
    <xf numFmtId="0" fontId="20" fillId="19" borderId="25" pivotButton="0" quotePrefix="0" xfId="0"/>
    <xf numFmtId="164" fontId="20" fillId="19" borderId="31" pivotButton="0" quotePrefix="0" xfId="0"/>
    <xf numFmtId="0" fontId="13" fillId="19" borderId="34" applyAlignment="1" pivotButton="0" quotePrefix="0" xfId="0">
      <alignment vertical="center" wrapText="1"/>
    </xf>
    <xf numFmtId="0" fontId="13" fillId="23" borderId="34" applyAlignment="1" pivotButton="0" quotePrefix="0" xfId="0">
      <alignment horizontal="left"/>
    </xf>
    <xf numFmtId="164" fontId="3" fillId="23" borderId="36" pivotButton="0" quotePrefix="0" xfId="0"/>
    <xf numFmtId="0" fontId="13" fillId="23" borderId="2" pivotButton="0" quotePrefix="0" xfId="0"/>
    <xf numFmtId="3" fontId="0" fillId="23" borderId="2" pivotButton="0" quotePrefix="0" xfId="0"/>
    <xf numFmtId="0" fontId="59" fillId="0" borderId="0" pivotButton="0" quotePrefix="0" xfId="0"/>
    <xf numFmtId="0" fontId="60" fillId="24" borderId="40" applyAlignment="1" pivotButton="0" quotePrefix="0" xfId="0">
      <alignment horizontal="left" wrapText="1" readingOrder="1"/>
    </xf>
    <xf numFmtId="0" fontId="60" fillId="24" borderId="41" applyAlignment="1" pivotButton="0" quotePrefix="0" xfId="0">
      <alignment horizontal="left" wrapText="1" readingOrder="1"/>
    </xf>
    <xf numFmtId="0" fontId="60" fillId="24" borderId="42" applyAlignment="1" pivotButton="0" quotePrefix="0" xfId="0">
      <alignment horizontal="left" wrapText="1" readingOrder="1"/>
    </xf>
    <xf numFmtId="0" fontId="60" fillId="24" borderId="40" applyAlignment="1" pivotButton="0" quotePrefix="0" xfId="0">
      <alignment horizontal="center" wrapText="1" readingOrder="1"/>
    </xf>
    <xf numFmtId="0" fontId="60" fillId="24" borderId="41" applyAlignment="1" pivotButton="0" quotePrefix="0" xfId="0">
      <alignment horizontal="center" wrapText="1" readingOrder="1"/>
    </xf>
    <xf numFmtId="0" fontId="61" fillId="0" borderId="43" applyAlignment="1" pivotButton="0" quotePrefix="0" xfId="0">
      <alignment horizontal="center" wrapText="1" readingOrder="1"/>
    </xf>
    <xf numFmtId="0" fontId="62" fillId="0" borderId="44" applyAlignment="1" pivotButton="0" quotePrefix="0" xfId="0">
      <alignment horizontal="left" vertical="center" wrapText="1" readingOrder="1"/>
    </xf>
    <xf numFmtId="0" fontId="61" fillId="0" borderId="45" applyAlignment="1" pivotButton="0" quotePrefix="0" xfId="0">
      <alignment horizontal="center" wrapText="1" readingOrder="1"/>
    </xf>
    <xf numFmtId="0" fontId="61" fillId="0" borderId="44" applyAlignment="1" pivotButton="0" quotePrefix="0" xfId="0">
      <alignment horizontal="center" wrapText="1" readingOrder="1"/>
    </xf>
    <xf numFmtId="0" fontId="61" fillId="0" borderId="46" applyAlignment="1" pivotButton="0" quotePrefix="0" xfId="0">
      <alignment horizontal="center" wrapText="1" readingOrder="1"/>
    </xf>
    <xf numFmtId="0" fontId="62" fillId="0" borderId="47" applyAlignment="1" pivotButton="0" quotePrefix="0" xfId="0">
      <alignment horizontal="left" vertical="center" wrapText="1" readingOrder="1"/>
    </xf>
    <xf numFmtId="0" fontId="61" fillId="0" borderId="48" applyAlignment="1" pivotButton="0" quotePrefix="0" xfId="0">
      <alignment horizontal="center" wrapText="1" readingOrder="1"/>
    </xf>
    <xf numFmtId="0" fontId="61" fillId="0" borderId="47" applyAlignment="1" pivotButton="0" quotePrefix="0" xfId="0">
      <alignment horizontal="center" wrapText="1" readingOrder="1"/>
    </xf>
    <xf numFmtId="0" fontId="65" fillId="0" borderId="0" applyAlignment="1" pivotButton="0" quotePrefix="0" xfId="0">
      <alignment horizontal="left" vertical="center" readingOrder="1"/>
    </xf>
    <xf numFmtId="0" fontId="66" fillId="0" borderId="0" pivotButton="0" quotePrefix="0" xfId="0"/>
    <xf numFmtId="0" fontId="65" fillId="0" borderId="0" pivotButton="0" quotePrefix="0" xfId="0"/>
    <xf numFmtId="0" fontId="65" fillId="0" borderId="0" applyAlignment="1" pivotButton="0" quotePrefix="0" xfId="0">
      <alignment horizontal="left" vertical="center" indent="6" readingOrder="1"/>
    </xf>
    <xf numFmtId="0" fontId="65" fillId="0" borderId="0" applyAlignment="1" pivotButton="0" quotePrefix="0" xfId="0">
      <alignment vertical="center" readingOrder="1"/>
    </xf>
    <xf numFmtId="0" fontId="65" fillId="0" borderId="0" applyAlignment="1" pivotButton="0" quotePrefix="0" xfId="0">
      <alignment horizontal="left" vertical="center" indent="2" readingOrder="1"/>
    </xf>
    <xf numFmtId="0" fontId="66" fillId="0" borderId="0" applyAlignment="1" pivotButton="0" quotePrefix="0" xfId="0">
      <alignment horizontal="left" vertical="center" readingOrder="1"/>
    </xf>
    <xf numFmtId="0" fontId="66" fillId="3" borderId="0" pivotButton="0" quotePrefix="0" xfId="0"/>
    <xf numFmtId="0" fontId="65" fillId="3" borderId="0" pivotButton="0" quotePrefix="0" xfId="0"/>
    <xf numFmtId="0" fontId="65" fillId="12" borderId="0" pivotButton="0" quotePrefix="0" xfId="0"/>
    <xf numFmtId="0" fontId="66" fillId="0" borderId="0" applyAlignment="1" pivotButton="0" quotePrefix="0" xfId="0">
      <alignment horizontal="left" vertical="center" indent="2" readingOrder="1"/>
    </xf>
    <xf numFmtId="0" fontId="66" fillId="12" borderId="0" pivotButton="0" quotePrefix="0" xfId="0"/>
    <xf numFmtId="0" fontId="20" fillId="12" borderId="0" pivotButton="0" quotePrefix="0" xfId="0"/>
    <xf numFmtId="0" fontId="67" fillId="0" borderId="0" applyAlignment="1" pivotButton="0" quotePrefix="0" xfId="0">
      <alignment horizontal="left" vertical="center" indent="2" readingOrder="1"/>
    </xf>
    <xf numFmtId="0" fontId="69" fillId="0" borderId="0" pivotButton="0" quotePrefix="0" xfId="0"/>
    <xf numFmtId="0" fontId="69" fillId="0" borderId="0" applyAlignment="1" pivotButton="0" quotePrefix="0" xfId="0">
      <alignment horizontal="left" vertical="center" indent="2" readingOrder="1"/>
    </xf>
    <xf numFmtId="0" fontId="68" fillId="0" borderId="0" pivotButton="0" quotePrefix="0" xfId="0"/>
    <xf numFmtId="0" fontId="70" fillId="0" borderId="0" applyAlignment="1" pivotButton="0" quotePrefix="0" xfId="0">
      <alignment horizontal="left" vertical="center" indent="3" readingOrder="1"/>
    </xf>
    <xf numFmtId="0" fontId="69" fillId="0" borderId="0" applyAlignment="1" pivotButton="0" quotePrefix="0" xfId="0">
      <alignment horizontal="left" vertical="center" indent="6" readingOrder="1"/>
    </xf>
    <xf numFmtId="0" fontId="71" fillId="0" borderId="0" applyAlignment="1" pivotButton="0" quotePrefix="0" xfId="4">
      <alignment horizontal="left" vertical="center" indent="1"/>
    </xf>
    <xf numFmtId="0" fontId="57" fillId="12" borderId="0" applyAlignment="1" pivotButton="0" quotePrefix="0" xfId="0">
      <alignment vertical="center"/>
    </xf>
    <xf numFmtId="0" fontId="72" fillId="0" borderId="0" pivotButton="0" quotePrefix="0" xfId="0"/>
    <xf numFmtId="0" fontId="73" fillId="0" borderId="0" applyAlignment="1" pivotButton="0" quotePrefix="0" xfId="0">
      <alignment horizontal="justify" vertical="center"/>
    </xf>
    <xf numFmtId="0" fontId="73" fillId="0" borderId="0" applyAlignment="1" pivotButton="0" quotePrefix="0" xfId="0">
      <alignment vertical="center"/>
    </xf>
    <xf numFmtId="0" fontId="51" fillId="0" borderId="21" applyAlignment="1" pivotButton="0" quotePrefix="0" xfId="0">
      <alignment vertical="center" wrapText="1"/>
    </xf>
    <xf numFmtId="0" fontId="51" fillId="0" borderId="14" applyAlignment="1" pivotButton="0" quotePrefix="0" xfId="0">
      <alignment vertical="center" wrapText="1"/>
    </xf>
    <xf numFmtId="0" fontId="75" fillId="0" borderId="13" applyAlignment="1" pivotButton="0" quotePrefix="0" xfId="0">
      <alignment vertical="center" wrapText="1"/>
    </xf>
    <xf numFmtId="0" fontId="75" fillId="0" borderId="20" applyAlignment="1" pivotButton="0" quotePrefix="0" xfId="0">
      <alignment vertical="center" wrapText="1"/>
    </xf>
    <xf numFmtId="0" fontId="51" fillId="0" borderId="15" applyAlignment="1" pivotButton="0" quotePrefix="0" xfId="0">
      <alignment vertical="center" wrapText="1"/>
    </xf>
    <xf numFmtId="0" fontId="19" fillId="0" borderId="21" applyAlignment="1" pivotButton="0" quotePrefix="0" xfId="0">
      <alignment vertical="center" wrapText="1"/>
    </xf>
    <xf numFmtId="0" fontId="77" fillId="0" borderId="0" applyAlignment="1" pivotButton="0" quotePrefix="0" xfId="0">
      <alignment horizontal="left" vertical="center" indent="8"/>
    </xf>
    <xf numFmtId="0" fontId="76" fillId="0" borderId="0" applyAlignment="1" pivotButton="0" quotePrefix="0" xfId="0">
      <alignment horizontal="left" vertical="center" indent="4"/>
    </xf>
    <xf numFmtId="0" fontId="75" fillId="0" borderId="17" applyAlignment="1" pivotButton="0" quotePrefix="0" xfId="0">
      <alignment vertical="center" wrapText="1"/>
    </xf>
    <xf numFmtId="0" fontId="75" fillId="0" borderId="14" applyAlignment="1" pivotButton="0" quotePrefix="0" xfId="0">
      <alignment vertical="center" wrapText="1"/>
    </xf>
    <xf numFmtId="0" fontId="75" fillId="0" borderId="49" applyAlignment="1" pivotButton="0" quotePrefix="0" xfId="0">
      <alignment vertical="center" wrapText="1"/>
    </xf>
    <xf numFmtId="0" fontId="75" fillId="0" borderId="15" applyAlignment="1" pivotButton="0" quotePrefix="0" xfId="0">
      <alignment horizontal="right" vertical="center" wrapText="1"/>
    </xf>
    <xf numFmtId="0" fontId="51" fillId="0" borderId="15" applyAlignment="1" pivotButton="0" quotePrefix="0" xfId="0">
      <alignment horizontal="right" vertical="center" wrapText="1"/>
    </xf>
    <xf numFmtId="0" fontId="51" fillId="0" borderId="18" applyAlignment="1" pivotButton="0" quotePrefix="0" xfId="0">
      <alignment horizontal="right" vertical="center" wrapText="1"/>
    </xf>
    <xf numFmtId="0" fontId="74" fillId="0" borderId="15" applyAlignment="1" pivotButton="0" quotePrefix="0" xfId="0">
      <alignment vertical="center" wrapText="1"/>
    </xf>
    <xf numFmtId="9" fontId="51" fillId="0" borderId="15" applyAlignment="1" pivotButton="0" quotePrefix="0" xfId="0">
      <alignment horizontal="right" vertical="center" wrapText="1"/>
    </xf>
    <xf numFmtId="0" fontId="73" fillId="0" borderId="0" applyAlignment="1" pivotButton="0" quotePrefix="0" xfId="0">
      <alignment horizontal="left" vertical="center" indent="1"/>
    </xf>
    <xf numFmtId="0" fontId="74" fillId="0" borderId="17" applyAlignment="1" pivotButton="0" quotePrefix="0" xfId="0">
      <alignment vertical="center" wrapText="1"/>
    </xf>
    <xf numFmtId="0" fontId="74" fillId="0" borderId="14" applyAlignment="1" pivotButton="0" quotePrefix="0" xfId="0">
      <alignment vertical="center" wrapText="1"/>
    </xf>
    <xf numFmtId="170" fontId="51" fillId="0" borderId="18" applyAlignment="1" pivotButton="0" quotePrefix="0" xfId="0">
      <alignment horizontal="right" vertical="center" wrapText="1"/>
    </xf>
    <xf numFmtId="3" fontId="51" fillId="0" borderId="15" applyAlignment="1" pivotButton="0" quotePrefix="0" xfId="0">
      <alignment horizontal="right" vertical="center" wrapText="1"/>
    </xf>
    <xf numFmtId="4" fontId="51" fillId="0" borderId="15" applyAlignment="1" pivotButton="0" quotePrefix="0" xfId="0">
      <alignment vertical="center" wrapText="1"/>
    </xf>
    <xf numFmtId="169" fontId="51" fillId="0" borderId="15" applyAlignment="1" pivotButton="0" quotePrefix="0" xfId="0">
      <alignment vertical="center" wrapText="1"/>
    </xf>
    <xf numFmtId="10" fontId="51" fillId="0" borderId="15" applyAlignment="1" pivotButton="0" quotePrefix="0" xfId="0">
      <alignment horizontal="right" vertical="center" wrapText="1"/>
    </xf>
    <xf numFmtId="0" fontId="75" fillId="0" borderId="14" applyAlignment="1" pivotButton="0" quotePrefix="0" xfId="0">
      <alignment horizontal="left" vertical="center" wrapText="1" indent="2"/>
    </xf>
    <xf numFmtId="4" fontId="75" fillId="0" borderId="15" applyAlignment="1" pivotButton="0" quotePrefix="0" xfId="0">
      <alignment vertical="center" wrapText="1"/>
    </xf>
    <xf numFmtId="10" fontId="51" fillId="0" borderId="15" applyAlignment="1" pivotButton="0" quotePrefix="0" xfId="0">
      <alignment vertical="center" wrapText="1"/>
    </xf>
    <xf numFmtId="0" fontId="75" fillId="0" borderId="15" applyAlignment="1" pivotButton="0" quotePrefix="0" xfId="0">
      <alignment vertical="center" wrapText="1"/>
    </xf>
    <xf numFmtId="0" fontId="75" fillId="0" borderId="15" applyAlignment="1" pivotButton="0" quotePrefix="0" xfId="0">
      <alignment horizontal="left" vertical="center" wrapText="1" indent="2"/>
    </xf>
    <xf numFmtId="0" fontId="51" fillId="0" borderId="0" applyAlignment="1" pivotButton="0" quotePrefix="0" xfId="0">
      <alignment vertical="center" wrapText="1"/>
    </xf>
    <xf numFmtId="0" fontId="76" fillId="12" borderId="0" applyAlignment="1" pivotButton="0" quotePrefix="0" xfId="0">
      <alignment horizontal="left" vertical="center" indent="4"/>
    </xf>
    <xf numFmtId="0" fontId="76" fillId="12" borderId="0" applyAlignment="1" pivotButton="0" quotePrefix="0" xfId="0">
      <alignment horizontal="left" vertical="center" indent="6"/>
    </xf>
    <xf numFmtId="0" fontId="73" fillId="0" borderId="0" applyAlignment="1" pivotButton="0" quotePrefix="0" xfId="0">
      <alignment horizontal="justify" vertical="center" wrapText="1"/>
    </xf>
    <xf numFmtId="0" fontId="13" fillId="25" borderId="0" pivotButton="0" quotePrefix="0" xfId="0"/>
    <xf numFmtId="0" fontId="73" fillId="25" borderId="0" applyAlignment="1" pivotButton="0" quotePrefix="0" xfId="0">
      <alignment horizontal="justify" vertical="center"/>
    </xf>
    <xf numFmtId="0" fontId="75" fillId="0" borderId="0" applyAlignment="1" pivotButton="0" quotePrefix="0" xfId="0">
      <alignment vertical="center" wrapText="1"/>
    </xf>
    <xf numFmtId="0" fontId="76" fillId="25" borderId="0" applyAlignment="1" pivotButton="0" quotePrefix="0" xfId="0">
      <alignment horizontal="left" vertical="center" indent="6"/>
    </xf>
    <xf numFmtId="0" fontId="76" fillId="25" borderId="0" applyAlignment="1" pivotButton="0" quotePrefix="0" xfId="0">
      <alignment horizontal="left" vertical="center" indent="4"/>
    </xf>
    <xf numFmtId="0" fontId="20" fillId="25" borderId="0" pivotButton="0" quotePrefix="0" xfId="0"/>
    <xf numFmtId="164" fontId="0" fillId="0" borderId="0" pivotButton="0" quotePrefix="0" xfId="1"/>
    <xf numFmtId="0" fontId="20" fillId="0" borderId="0" applyAlignment="1" pivotButton="0" quotePrefix="0" xfId="0">
      <alignment wrapText="1"/>
    </xf>
    <xf numFmtId="166" fontId="0" fillId="15" borderId="0" pivotButton="0" quotePrefix="0" xfId="0"/>
    <xf numFmtId="164" fontId="0" fillId="6" borderId="2" pivotButton="0" quotePrefix="0" xfId="1"/>
    <xf numFmtId="0" fontId="0" fillId="5" borderId="2" pivotButton="0" quotePrefix="0" xfId="0"/>
    <xf numFmtId="0" fontId="19" fillId="2" borderId="2" applyAlignment="1" pivotButton="0" quotePrefix="0" xfId="0">
      <alignment vertical="center" wrapText="1"/>
    </xf>
    <xf numFmtId="0" fontId="18" fillId="2" borderId="2" applyAlignment="1" pivotButton="0" quotePrefix="0" xfId="0">
      <alignment vertical="center" wrapText="1"/>
    </xf>
    <xf numFmtId="0" fontId="21" fillId="2" borderId="2" applyAlignment="1" pivotButton="0" quotePrefix="0" xfId="0">
      <alignment vertical="center" wrapText="1"/>
    </xf>
    <xf numFmtId="3" fontId="21" fillId="2" borderId="2" applyAlignment="1" pivotButton="0" quotePrefix="0" xfId="0">
      <alignment horizontal="right" vertical="center" wrapText="1"/>
    </xf>
    <xf numFmtId="164" fontId="21" fillId="2" borderId="2" applyAlignment="1" pivotButton="0" quotePrefix="0" xfId="1">
      <alignment horizontal="right" vertical="center" wrapText="1"/>
    </xf>
    <xf numFmtId="0" fontId="20" fillId="5" borderId="2" pivotButton="0" quotePrefix="0" xfId="0"/>
    <xf numFmtId="164" fontId="20" fillId="5" borderId="2" pivotButton="0" quotePrefix="0" xfId="1"/>
    <xf numFmtId="166" fontId="20" fillId="5" borderId="0" pivotButton="0" quotePrefix="0" xfId="0"/>
    <xf numFmtId="0" fontId="35" fillId="14" borderId="2" applyAlignment="1" pivotButton="0" quotePrefix="0" xfId="0">
      <alignment horizontal="center" vertical="center" wrapText="1"/>
    </xf>
    <xf numFmtId="164" fontId="20" fillId="0" borderId="0" pivotButton="0" quotePrefix="0" xfId="1"/>
    <xf numFmtId="164" fontId="0" fillId="0" borderId="0" pivotButton="0" quotePrefix="0" xfId="1"/>
    <xf numFmtId="164" fontId="20" fillId="0" borderId="0" pivotButton="0" quotePrefix="0" xfId="0"/>
    <xf numFmtId="164" fontId="21" fillId="11" borderId="2" applyAlignment="1" pivotButton="0" quotePrefix="0" xfId="1">
      <alignment horizontal="right" vertical="center" wrapText="1"/>
    </xf>
    <xf numFmtId="0" fontId="12" fillId="5" borderId="2" pivotButton="0" quotePrefix="0" xfId="0"/>
    <xf numFmtId="166" fontId="36" fillId="5" borderId="2" pivotButton="0" quotePrefix="0" xfId="0"/>
    <xf numFmtId="0" fontId="36" fillId="5" borderId="2" pivotButton="0" quotePrefix="0" xfId="0"/>
    <xf numFmtId="166" fontId="0" fillId="5" borderId="2" pivotButton="0" quotePrefix="0" xfId="0"/>
    <xf numFmtId="166" fontId="13" fillId="0" borderId="0" pivotButton="0" quotePrefix="0" xfId="3"/>
    <xf numFmtId="166" fontId="20" fillId="0" borderId="0" pivotButton="0" quotePrefix="0" xfId="3"/>
    <xf numFmtId="0" fontId="4" fillId="0" borderId="11" pivotButton="0" quotePrefix="0" xfId="0"/>
    <xf numFmtId="0" fontId="2" fillId="0" borderId="11" pivotButton="0" quotePrefix="0" xfId="0"/>
    <xf numFmtId="0" fontId="4" fillId="0" borderId="2" pivotButton="0" quotePrefix="0" xfId="0"/>
    <xf numFmtId="3" fontId="0" fillId="6" borderId="0" pivotButton="0" quotePrefix="0" xfId="0"/>
    <xf numFmtId="0" fontId="0" fillId="6" borderId="0" pivotButton="0" quotePrefix="0" xfId="0"/>
    <xf numFmtId="0" fontId="80" fillId="0" borderId="18" applyAlignment="1" pivotButton="0" quotePrefix="0" xfId="0">
      <alignment horizontal="center" vertical="center" wrapText="1"/>
    </xf>
    <xf numFmtId="164" fontId="20" fillId="6" borderId="2" pivotButton="0" quotePrefix="0" xfId="1"/>
    <xf numFmtId="164" fontId="0" fillId="15" borderId="2" pivotButton="0" quotePrefix="0" xfId="1"/>
    <xf numFmtId="9" fontId="11" fillId="15" borderId="0" applyAlignment="1" pivotButton="0" quotePrefix="0" xfId="0">
      <alignment horizontal="left"/>
    </xf>
    <xf numFmtId="166" fontId="12" fillId="26" borderId="2" pivotButton="0" quotePrefix="0" xfId="0"/>
    <xf numFmtId="0" fontId="35" fillId="26" borderId="18" applyAlignment="1" pivotButton="0" quotePrefix="0" xfId="0">
      <alignment horizontal="center" vertical="center" wrapText="1"/>
    </xf>
    <xf numFmtId="166" fontId="51" fillId="0" borderId="15" applyAlignment="1" pivotButton="0" quotePrefix="0" xfId="0">
      <alignment horizontal="right" vertical="center" wrapText="1"/>
    </xf>
    <xf numFmtId="0" fontId="13" fillId="25" borderId="0" applyAlignment="1" pivotButton="0" quotePrefix="0" xfId="0">
      <alignment wrapText="1"/>
    </xf>
    <xf numFmtId="0" fontId="75" fillId="10" borderId="0" applyAlignment="1" pivotButton="0" quotePrefix="0" xfId="0">
      <alignment vertical="center" wrapText="1"/>
    </xf>
    <xf numFmtId="0" fontId="13" fillId="17" borderId="0" applyAlignment="1" pivotButton="0" quotePrefix="0" xfId="0">
      <alignment horizontal="right"/>
    </xf>
    <xf numFmtId="0" fontId="13" fillId="17" borderId="35" applyAlignment="1" pivotButton="0" quotePrefix="0" xfId="0">
      <alignment horizontal="right"/>
    </xf>
    <xf numFmtId="0" fontId="75" fillId="0" borderId="2" applyAlignment="1" pivotButton="0" quotePrefix="0" xfId="0">
      <alignment vertical="center" wrapText="1"/>
    </xf>
    <xf numFmtId="171" fontId="75" fillId="0" borderId="2" applyAlignment="1" pivotButton="0" quotePrefix="0" xfId="0">
      <alignment vertical="center" wrapText="1"/>
    </xf>
    <xf numFmtId="9" fontId="75" fillId="0" borderId="2" applyAlignment="1" pivotButton="0" quotePrefix="0" xfId="0">
      <alignment vertical="center" wrapText="1"/>
    </xf>
    <xf numFmtId="0" fontId="19" fillId="6" borderId="2" applyAlignment="1" pivotButton="0" quotePrefix="0" xfId="0">
      <alignment vertical="center" wrapText="1"/>
    </xf>
    <xf numFmtId="0" fontId="75" fillId="6" borderId="2" applyAlignment="1" pivotButton="0" quotePrefix="0" xfId="0">
      <alignment vertical="center" wrapText="1"/>
    </xf>
    <xf numFmtId="171" fontId="75" fillId="6" borderId="2" applyAlignment="1" pivotButton="0" quotePrefix="0" xfId="0">
      <alignment vertical="center" wrapText="1"/>
    </xf>
    <xf numFmtId="0" fontId="75" fillId="0" borderId="51" applyAlignment="1" pivotButton="0" quotePrefix="0" xfId="0">
      <alignment horizontal="left" vertical="center" wrapText="1" indent="2"/>
    </xf>
    <xf numFmtId="0" fontId="75" fillId="0" borderId="52" applyAlignment="1" pivotButton="0" quotePrefix="0" xfId="0">
      <alignment horizontal="left" vertical="center" wrapText="1" indent="2"/>
    </xf>
    <xf numFmtId="4" fontId="75" fillId="0" borderId="52" applyAlignment="1" pivotButton="0" quotePrefix="0" xfId="0">
      <alignment vertical="center" wrapText="1"/>
    </xf>
    <xf numFmtId="0" fontId="51" fillId="0" borderId="52" applyAlignment="1" pivotButton="0" quotePrefix="0" xfId="0">
      <alignment vertical="center" wrapText="1"/>
    </xf>
    <xf numFmtId="0" fontId="51" fillId="0" borderId="53" applyAlignment="1" pivotButton="0" quotePrefix="0" xfId="0">
      <alignment vertical="center" wrapText="1"/>
    </xf>
    <xf numFmtId="0" fontId="19" fillId="0" borderId="54" applyAlignment="1" pivotButton="0" quotePrefix="0" xfId="0">
      <alignment vertical="center" wrapText="1"/>
    </xf>
    <xf numFmtId="0" fontId="75" fillId="0" borderId="33" applyAlignment="1" pivotButton="0" quotePrefix="0" xfId="0">
      <alignment vertical="center" wrapText="1"/>
    </xf>
    <xf numFmtId="0" fontId="51" fillId="0" borderId="54" applyAlignment="1" pivotButton="0" quotePrefix="0" xfId="0">
      <alignment vertical="center" wrapText="1"/>
    </xf>
    <xf numFmtId="0" fontId="19" fillId="6" borderId="54" applyAlignment="1" pivotButton="0" quotePrefix="0" xfId="0">
      <alignment vertical="center" wrapText="1"/>
    </xf>
    <xf numFmtId="0" fontId="75" fillId="6" borderId="33" applyAlignment="1" pivotButton="0" quotePrefix="0" xfId="0">
      <alignment vertical="center" wrapText="1"/>
    </xf>
    <xf numFmtId="0" fontId="75" fillId="27" borderId="55" applyAlignment="1" pivotButton="0" quotePrefix="0" xfId="0">
      <alignment horizontal="left" vertical="center" wrapText="1" indent="2"/>
    </xf>
    <xf numFmtId="0" fontId="75" fillId="27" borderId="56" applyAlignment="1" pivotButton="0" quotePrefix="0" xfId="0">
      <alignment horizontal="left" vertical="center" wrapText="1" indent="2"/>
    </xf>
    <xf numFmtId="4" fontId="75" fillId="27" borderId="56" applyAlignment="1" pivotButton="0" quotePrefix="0" xfId="0">
      <alignment vertical="center" wrapText="1"/>
    </xf>
    <xf numFmtId="0" fontId="51" fillId="27" borderId="56" applyAlignment="1" pivotButton="0" quotePrefix="0" xfId="0">
      <alignment vertical="center" wrapText="1"/>
    </xf>
    <xf numFmtId="0" fontId="51" fillId="27" borderId="57" applyAlignment="1" pivotButton="0" quotePrefix="0" xfId="0">
      <alignment vertical="center" wrapText="1"/>
    </xf>
    <xf numFmtId="166" fontId="11" fillId="15" borderId="0" applyAlignment="1" pivotButton="0" quotePrefix="0" xfId="0">
      <alignment horizontal="left"/>
    </xf>
    <xf numFmtId="170" fontId="0" fillId="6" borderId="2" pivotButton="0" quotePrefix="0" xfId="0"/>
    <xf numFmtId="170" fontId="0" fillId="0" borderId="2" pivotButton="0" quotePrefix="0" xfId="0"/>
    <xf numFmtId="166" fontId="0" fillId="0" borderId="2" pivotButton="0" quotePrefix="0" xfId="0"/>
    <xf numFmtId="0" fontId="36" fillId="0" borderId="0" pivotButton="0" quotePrefix="0" xfId="0"/>
    <xf numFmtId="0" fontId="1" fillId="0" borderId="2" pivotButton="0" quotePrefix="0" xfId="0"/>
    <xf numFmtId="167" fontId="75" fillId="0" borderId="15" applyAlignment="1" pivotButton="0" quotePrefix="0" xfId="1">
      <alignment vertical="center" wrapText="1"/>
    </xf>
    <xf numFmtId="167" fontId="75" fillId="10" borderId="0" applyAlignment="1" pivotButton="0" quotePrefix="0" xfId="1">
      <alignment vertical="center" wrapText="1"/>
    </xf>
    <xf numFmtId="10" fontId="0" fillId="0" borderId="2" pivotButton="0" quotePrefix="0" xfId="0"/>
    <xf numFmtId="0" fontId="10" fillId="10" borderId="0" pivotButton="0" quotePrefix="0" xfId="0"/>
    <xf numFmtId="164" fontId="12" fillId="6" borderId="0" pivotButton="0" quotePrefix="0" xfId="1"/>
    <xf numFmtId="0" fontId="76" fillId="25" borderId="0" applyAlignment="1" pivotButton="0" quotePrefix="0" xfId="0">
      <alignment horizontal="justify" vertical="center"/>
    </xf>
    <xf numFmtId="0" fontId="19" fillId="0" borderId="58" applyAlignment="1" pivotButton="0" quotePrefix="0" xfId="0">
      <alignment vertical="center" wrapText="1"/>
    </xf>
    <xf numFmtId="0" fontId="18" fillId="0" borderId="58" applyAlignment="1" pivotButton="0" quotePrefix="0" xfId="0">
      <alignment vertical="center" wrapText="1"/>
    </xf>
    <xf numFmtId="0" fontId="21" fillId="0" borderId="58" applyAlignment="1" pivotButton="0" quotePrefix="0" xfId="0">
      <alignment vertical="center" wrapText="1"/>
    </xf>
    <xf numFmtId="166" fontId="19" fillId="0" borderId="58" applyAlignment="1" pivotButton="0" quotePrefix="0" xfId="0">
      <alignment horizontal="right" vertical="center" wrapText="1"/>
    </xf>
    <xf numFmtId="0" fontId="19" fillId="3" borderId="12" applyAlignment="1" pivotButton="0" quotePrefix="0" xfId="0">
      <alignment vertical="center" wrapText="1"/>
    </xf>
    <xf numFmtId="0" fontId="18" fillId="3" borderId="12" applyAlignment="1" pivotButton="0" quotePrefix="0" xfId="0">
      <alignment vertical="center" wrapText="1"/>
    </xf>
    <xf numFmtId="0" fontId="21" fillId="3" borderId="12" applyAlignment="1" pivotButton="0" quotePrefix="0" xfId="0">
      <alignment vertical="center" wrapText="1"/>
    </xf>
    <xf numFmtId="3" fontId="21" fillId="3" borderId="12" applyAlignment="1" pivotButton="0" quotePrefix="0" xfId="0">
      <alignment horizontal="right" vertical="center" wrapText="1"/>
    </xf>
    <xf numFmtId="166" fontId="19" fillId="0" borderId="0" applyAlignment="1" pivotButton="0" quotePrefix="0" xfId="0">
      <alignment horizontal="right" vertical="center" wrapText="1"/>
    </xf>
    <xf numFmtId="0" fontId="0" fillId="0" borderId="59" pivotButton="0" quotePrefix="0" xfId="0"/>
    <xf numFmtId="0" fontId="19" fillId="0" borderId="59" applyAlignment="1" pivotButton="0" quotePrefix="0" xfId="0">
      <alignment vertical="center" wrapText="1"/>
    </xf>
    <xf numFmtId="0" fontId="18" fillId="0" borderId="59" applyAlignment="1" pivotButton="0" quotePrefix="0" xfId="0">
      <alignment vertical="center" wrapText="1"/>
    </xf>
    <xf numFmtId="0" fontId="21" fillId="0" borderId="59" applyAlignment="1" pivotButton="0" quotePrefix="0" xfId="0">
      <alignment vertical="center" wrapText="1"/>
    </xf>
    <xf numFmtId="166" fontId="19" fillId="0" borderId="59" applyAlignment="1" pivotButton="0" quotePrefix="0" xfId="0">
      <alignment horizontal="right" vertical="center" wrapText="1"/>
    </xf>
    <xf numFmtId="0" fontId="81" fillId="15" borderId="18" applyAlignment="1" pivotButton="0" quotePrefix="0" xfId="0">
      <alignment vertical="center" wrapText="1"/>
    </xf>
    <xf numFmtId="9" fontId="0" fillId="15" borderId="0" pivotButton="0" quotePrefix="0" xfId="0"/>
    <xf numFmtId="0" fontId="13" fillId="0" borderId="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20" fillId="0" borderId="2" applyAlignment="1" pivotButton="0" quotePrefix="0" xfId="0">
      <alignment wrapText="1"/>
    </xf>
    <xf numFmtId="0" fontId="20" fillId="0" borderId="2" pivotButton="0" quotePrefix="0" xfId="0"/>
    <xf numFmtId="3" fontId="20" fillId="0" borderId="2" pivotButton="0" quotePrefix="0" xfId="0"/>
    <xf numFmtId="169" fontId="20" fillId="0" borderId="0" pivotButton="0" quotePrefix="0" xfId="0"/>
    <xf numFmtId="2" fontId="11" fillId="0" borderId="0" applyAlignment="1" pivotButton="0" quotePrefix="0" xfId="0">
      <alignment horizontal="left"/>
    </xf>
    <xf numFmtId="2" fontId="11" fillId="9" borderId="0" applyAlignment="1" pivotButton="0" quotePrefix="0" xfId="0">
      <alignment horizontal="left"/>
    </xf>
    <xf numFmtId="3" fontId="20" fillId="0" borderId="0" pivotButton="0" quotePrefix="0" xfId="0"/>
    <xf numFmtId="0" fontId="20" fillId="25" borderId="58" pivotButton="0" quotePrefix="0" xfId="0"/>
    <xf numFmtId="0" fontId="20" fillId="0" borderId="58" pivotButton="0" quotePrefix="0" xfId="0"/>
    <xf numFmtId="0" fontId="76" fillId="0" borderId="11" applyAlignment="1" pivotButton="0" quotePrefix="0" xfId="0">
      <alignment horizontal="left" vertical="center" indent="4"/>
    </xf>
    <xf numFmtId="3" fontId="0" fillId="0" borderId="11" pivotButton="0" quotePrefix="0" xfId="0"/>
    <xf numFmtId="3" fontId="0" fillId="0" borderId="11" pivotButton="0" quotePrefix="0" xfId="1"/>
    <xf numFmtId="0" fontId="51" fillId="0" borderId="11" applyAlignment="1" pivotButton="0" quotePrefix="0" xfId="0">
      <alignment vertical="center" wrapText="1"/>
    </xf>
    <xf numFmtId="0" fontId="73" fillId="0" borderId="11" applyAlignment="1" pivotButton="0" quotePrefix="0" xfId="0">
      <alignment horizontal="justify" vertical="center"/>
    </xf>
    <xf numFmtId="0" fontId="76" fillId="0" borderId="2" applyAlignment="1" pivotButton="0" quotePrefix="0" xfId="0">
      <alignment horizontal="justify" vertical="center"/>
    </xf>
    <xf numFmtId="164" fontId="13" fillId="0" borderId="2" pivotButton="0" quotePrefix="0" xfId="1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22" fillId="2" borderId="37" applyAlignment="1" pivotButton="0" quotePrefix="0" xfId="0">
      <alignment horizontal="left" wrapText="1"/>
    </xf>
    <xf numFmtId="0" fontId="22" fillId="2" borderId="38" applyAlignment="1" pivotButton="0" quotePrefix="0" xfId="0">
      <alignment horizontal="left" wrapText="1"/>
    </xf>
    <xf numFmtId="0" fontId="22" fillId="2" borderId="39" applyAlignment="1" pivotButton="0" quotePrefix="0" xfId="0">
      <alignment horizontal="left" wrapText="1"/>
    </xf>
    <xf numFmtId="0" fontId="48" fillId="16" borderId="22" applyAlignment="1" pivotButton="0" quotePrefix="0" xfId="0">
      <alignment horizontal="center"/>
    </xf>
    <xf numFmtId="0" fontId="48" fillId="16" borderId="23" applyAlignment="1" pivotButton="0" quotePrefix="0" xfId="0">
      <alignment horizontal="center"/>
    </xf>
    <xf numFmtId="0" fontId="49" fillId="17" borderId="25" applyAlignment="1" pivotButton="0" quotePrefix="0" xfId="0">
      <alignment horizontal="center" vertical="center" wrapText="1"/>
    </xf>
    <xf numFmtId="0" fontId="49" fillId="17" borderId="26" applyAlignment="1" pivotButton="0" quotePrefix="0" xfId="0">
      <alignment horizontal="center" vertical="center" wrapText="1"/>
    </xf>
    <xf numFmtId="0" fontId="49" fillId="17" borderId="27" applyAlignment="1" pivotButton="0" quotePrefix="0" xfId="0">
      <alignment horizontal="center" vertical="center" wrapText="1"/>
    </xf>
    <xf numFmtId="0" fontId="49" fillId="17" borderId="0" applyAlignment="1" pivotButton="0" quotePrefix="0" xfId="0">
      <alignment horizontal="center" vertical="center" wrapText="1"/>
    </xf>
    <xf numFmtId="0" fontId="12" fillId="17" borderId="24" applyAlignment="1" pivotButton="0" quotePrefix="0" xfId="0">
      <alignment horizontal="center" wrapText="1"/>
    </xf>
    <xf numFmtId="0" fontId="12" fillId="17" borderId="28" applyAlignment="1" pivotButton="0" quotePrefix="0" xfId="0">
      <alignment horizontal="center" wrapText="1"/>
    </xf>
    <xf numFmtId="0" fontId="48" fillId="16" borderId="22" applyAlignment="1" pivotButton="0" quotePrefix="0" xfId="0">
      <alignment horizontal="center" wrapText="1"/>
    </xf>
    <xf numFmtId="0" fontId="48" fillId="16" borderId="23" applyAlignment="1" pivotButton="0" quotePrefix="0" xfId="0">
      <alignment horizontal="center" wrapText="1"/>
    </xf>
    <xf numFmtId="0" fontId="21" fillId="0" borderId="16" applyAlignment="1" pivotButton="0" quotePrefix="0" xfId="0">
      <alignment vertical="center" wrapText="1"/>
    </xf>
    <xf numFmtId="0" fontId="19" fillId="0" borderId="17" applyAlignment="1" pivotButton="0" quotePrefix="0" xfId="0">
      <alignment vertical="center" wrapText="1"/>
    </xf>
    <xf numFmtId="0" fontId="19" fillId="0" borderId="14" applyAlignment="1" pivotButton="0" quotePrefix="0" xfId="0">
      <alignment vertical="center" wrapText="1"/>
    </xf>
    <xf numFmtId="0" fontId="75" fillId="0" borderId="19" applyAlignment="1" pivotButton="0" quotePrefix="0" xfId="0">
      <alignment horizontal="center" vertical="center" wrapText="1"/>
    </xf>
    <xf numFmtId="0" fontId="75" fillId="0" borderId="50" applyAlignment="1" pivotButton="0" quotePrefix="0" xfId="0">
      <alignment horizontal="center" vertical="center" wrapText="1"/>
    </xf>
    <xf numFmtId="0" fontId="75" fillId="0" borderId="20" applyAlignment="1" pivotButton="0" quotePrefix="0" xfId="0">
      <alignment horizontal="center" vertical="center" wrapText="1"/>
    </xf>
    <xf numFmtId="3" fontId="75" fillId="0" borderId="19" applyAlignment="1" pivotButton="0" quotePrefix="0" xfId="0">
      <alignment horizontal="left" vertical="center" wrapText="1" indent="4"/>
    </xf>
    <xf numFmtId="3" fontId="75" fillId="0" borderId="20" applyAlignment="1" pivotButton="0" quotePrefix="0" xfId="0">
      <alignment horizontal="left" vertical="center" wrapText="1" indent="4"/>
    </xf>
    <xf numFmtId="166" fontId="0" fillId="0" borderId="0" pivotButton="0" quotePrefix="0" xfId="3"/>
    <xf numFmtId="166" fontId="0" fillId="0" borderId="0" pivotButton="0" quotePrefix="0" xfId="0"/>
    <xf numFmtId="166" fontId="13" fillId="0" borderId="0" pivotButton="0" quotePrefix="0" xfId="3"/>
    <xf numFmtId="166" fontId="20" fillId="0" borderId="0" pivotButton="0" quotePrefix="0" xfId="3"/>
    <xf numFmtId="166" fontId="36" fillId="5" borderId="2" pivotButton="0" quotePrefix="0" xfId="0"/>
    <xf numFmtId="166" fontId="12" fillId="26" borderId="2" pivotButton="0" quotePrefix="0" xfId="0"/>
    <xf numFmtId="166" fontId="0" fillId="5" borderId="2" pivotButton="0" quotePrefix="0" xfId="0"/>
    <xf numFmtId="168" fontId="0" fillId="0" borderId="2" pivotButton="0" quotePrefix="0" xfId="0"/>
    <xf numFmtId="169" fontId="0" fillId="0" borderId="0" pivotButton="0" quotePrefix="0" xfId="0"/>
    <xf numFmtId="168" fontId="0" fillId="0" borderId="0" pivotButton="0" quotePrefix="0" xfId="0"/>
    <xf numFmtId="0" fontId="0" fillId="0" borderId="23" pivotButton="0" quotePrefix="0" xfId="0"/>
    <xf numFmtId="0" fontId="0" fillId="0" borderId="26" pivotButton="0" quotePrefix="0" xfId="0"/>
    <xf numFmtId="0" fontId="12" fillId="17" borderId="62" applyAlignment="1" pivotButton="0" quotePrefix="0" xfId="0">
      <alignment horizontal="center" wrapText="1"/>
    </xf>
    <xf numFmtId="0" fontId="0" fillId="0" borderId="27" pivotButton="0" quotePrefix="0" xfId="0"/>
    <xf numFmtId="0" fontId="0" fillId="0" borderId="28" pivotButton="0" quotePrefix="0" xfId="0"/>
    <xf numFmtId="166" fontId="3" fillId="15" borderId="6" pivotButton="0" quotePrefix="0" xfId="0"/>
    <xf numFmtId="166" fontId="3" fillId="6" borderId="6" pivotButton="0" quotePrefix="0" xfId="0"/>
    <xf numFmtId="0" fontId="22" fillId="2" borderId="60" applyAlignment="1" pivotButton="0" quotePrefix="0" xfId="0">
      <alignment horizontal="left" wrapText="1"/>
    </xf>
    <xf numFmtId="0" fontId="0" fillId="0" borderId="38" pivotButton="0" quotePrefix="0" xfId="0"/>
    <xf numFmtId="0" fontId="0" fillId="0" borderId="39" pivotButton="0" quotePrefix="0" xfId="0"/>
    <xf numFmtId="166" fontId="19" fillId="0" borderId="58" applyAlignment="1" pivotButton="0" quotePrefix="0" xfId="0">
      <alignment horizontal="right" vertical="center" wrapText="1"/>
    </xf>
    <xf numFmtId="166" fontId="19" fillId="0" borderId="59" applyAlignment="1" pivotButton="0" quotePrefix="0" xfId="0">
      <alignment horizontal="right" vertical="center" wrapText="1"/>
    </xf>
    <xf numFmtId="166" fontId="19" fillId="0" borderId="0" applyAlignment="1" pivotButton="0" quotePrefix="0" xfId="0">
      <alignment horizontal="right" vertical="center" wrapText="1"/>
    </xf>
    <xf numFmtId="166" fontId="0" fillId="15" borderId="0" pivotButton="0" quotePrefix="0" xfId="0"/>
    <xf numFmtId="166" fontId="20" fillId="5" borderId="0" pivotButton="0" quotePrefix="0" xfId="0"/>
    <xf numFmtId="167" fontId="75" fillId="0" borderId="15" applyAlignment="1" pivotButton="0" quotePrefix="0" xfId="1">
      <alignment vertical="center" wrapText="1"/>
    </xf>
    <xf numFmtId="167" fontId="75" fillId="10" borderId="0" applyAlignment="1" pivotButton="0" quotePrefix="0" xfId="1">
      <alignment vertical="center" wrapText="1"/>
    </xf>
    <xf numFmtId="169" fontId="51" fillId="0" borderId="15" applyAlignment="1" pivotButton="0" quotePrefix="0" xfId="0">
      <alignment vertical="center" wrapText="1"/>
    </xf>
    <xf numFmtId="166" fontId="51" fillId="0" borderId="15" applyAlignment="1" pivotButton="0" quotePrefix="0" xfId="0">
      <alignment horizontal="right" vertical="center" wrapText="1"/>
    </xf>
    <xf numFmtId="171" fontId="75" fillId="0" borderId="2" applyAlignment="1" pivotButton="0" quotePrefix="0" xfId="0">
      <alignment vertical="center" wrapText="1"/>
    </xf>
    <xf numFmtId="171" fontId="75" fillId="6" borderId="2" applyAlignment="1" pivotButton="0" quotePrefix="0" xfId="0">
      <alignment vertical="center" wrapText="1"/>
    </xf>
    <xf numFmtId="169" fontId="20" fillId="0" borderId="0" pivotButton="0" quotePrefix="0" xfId="0"/>
    <xf numFmtId="166" fontId="0" fillId="0" borderId="2" pivotButton="0" quotePrefix="0" xfId="0"/>
    <xf numFmtId="169" fontId="31" fillId="14" borderId="15" applyAlignment="1" pivotButton="0" quotePrefix="0" xfId="0">
      <alignment vertical="center" wrapText="1"/>
    </xf>
    <xf numFmtId="0" fontId="0" fillId="0" borderId="16" pivotButton="0" quotePrefix="0" xfId="0"/>
    <xf numFmtId="169" fontId="19" fillId="0" borderId="15" applyAlignment="1" pivotButton="0" quotePrefix="0" xfId="0">
      <alignment vertical="center" wrapText="1"/>
    </xf>
    <xf numFmtId="0" fontId="19" fillId="0" borderId="13" applyAlignment="1" pivotButton="0" quotePrefix="0" xfId="0">
      <alignment vertical="center" wrapText="1"/>
    </xf>
    <xf numFmtId="0" fontId="0" fillId="0" borderId="14" pivotButton="0" quotePrefix="0" xfId="0"/>
    <xf numFmtId="168" fontId="19" fillId="0" borderId="15" applyAlignment="1" pivotButton="0" quotePrefix="0" xfId="1">
      <alignment vertical="center" wrapText="1"/>
    </xf>
    <xf numFmtId="169" fontId="21" fillId="7" borderId="0" pivotButton="0" quotePrefix="0" xfId="0"/>
    <xf numFmtId="166" fontId="11" fillId="15" borderId="0" applyAlignment="1" pivotButton="0" quotePrefix="0" xfId="0">
      <alignment horizontal="left"/>
    </xf>
    <xf numFmtId="169" fontId="0" fillId="0" borderId="2" pivotButton="0" quotePrefix="0" xfId="0"/>
    <xf numFmtId="169" fontId="5" fillId="0" borderId="2" pivotButton="0" quotePrefix="0" xfId="0"/>
    <xf numFmtId="170" fontId="0" fillId="6" borderId="2" pivotButton="0" quotePrefix="0" xfId="0"/>
    <xf numFmtId="170" fontId="0" fillId="0" borderId="2" pivotButton="0" quotePrefix="0" xfId="0"/>
    <xf numFmtId="168" fontId="0" fillId="6" borderId="2" pivotButton="0" quotePrefix="0" xfId="0"/>
    <xf numFmtId="167" fontId="17" fillId="0" borderId="2" pivotButton="0" quotePrefix="0" xfId="1"/>
    <xf numFmtId="166" fontId="11" fillId="0" borderId="0" applyAlignment="1" pivotButton="0" quotePrefix="0" xfId="0">
      <alignment horizontal="left"/>
    </xf>
    <xf numFmtId="170" fontId="51" fillId="0" borderId="18" applyAlignment="1" pivotButton="0" quotePrefix="0" xfId="0">
      <alignment horizontal="right" vertical="center" wrapText="1"/>
    </xf>
    <xf numFmtId="0" fontId="75" fillId="0" borderId="13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20" pivotButton="0" quotePrefix="0" xfId="0"/>
    <xf numFmtId="3" fontId="75" fillId="0" borderId="13" applyAlignment="1" pivotButton="0" quotePrefix="0" xfId="0">
      <alignment horizontal="left" vertical="center" wrapText="1" indent="4"/>
    </xf>
  </cellXfs>
  <cellStyles count="5">
    <cellStyle name="Normal" xfId="0" builtinId="0"/>
    <cellStyle name="Comma" xfId="1" builtinId="3"/>
    <cellStyle name="Comma [0] 2" xfId="2"/>
    <cellStyle name="Percent" xfId="3" builtinId="5"/>
    <cellStyle name="Hyperlink" xfId="4" builtinId="8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</a:t>
            </a:r>
            <a:r>
              <a:rPr lang="en-IN" baseline="0"/>
              <a:t xml:space="preserve"> and Expense Chart</a:t>
            </a:r>
            <a:endParaRPr lang="en-I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I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'YoY Cash Flow'!$C$4</f>
              <strCache>
                <ptCount val="1"/>
                <pt idx="0">
                  <v>Year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('YoY Cash Flow'!$B$5:$B$36,'YoY Cash Flow'!$B$55:$B$56)</f>
              <strCache>
                <ptCount val="34"/>
                <pt idx="0">
                  <v>Increase YoY (Net of Taxes) %</v>
                </pt>
                <pt idx="1">
                  <v>Y0</v>
                </pt>
                <pt idx="2">
                  <v>Y1</v>
                </pt>
                <pt idx="3">
                  <v>Y2</v>
                </pt>
                <pt idx="4">
                  <v>Y3</v>
                </pt>
                <pt idx="5">
                  <v>Y4</v>
                </pt>
                <pt idx="6">
                  <v>Y5</v>
                </pt>
                <pt idx="7">
                  <v>Y6</v>
                </pt>
                <pt idx="8">
                  <v>Y7</v>
                </pt>
                <pt idx="9">
                  <v>Y8</v>
                </pt>
                <pt idx="10">
                  <v>Y9</v>
                </pt>
                <pt idx="11">
                  <v>Y10</v>
                </pt>
                <pt idx="12">
                  <v>Y11</v>
                </pt>
                <pt idx="13">
                  <v>Y12</v>
                </pt>
                <pt idx="14">
                  <v>Y13</v>
                </pt>
                <pt idx="15">
                  <v>Y14</v>
                </pt>
                <pt idx="16">
                  <v>Y15</v>
                </pt>
                <pt idx="17">
                  <v>Y16</v>
                </pt>
                <pt idx="18">
                  <v>Y17</v>
                </pt>
                <pt idx="19">
                  <v>Y18</v>
                </pt>
                <pt idx="20">
                  <v>Y19</v>
                </pt>
                <pt idx="21">
                  <v>Y20</v>
                </pt>
                <pt idx="22">
                  <v>Y21</v>
                </pt>
                <pt idx="23">
                  <v>Y22</v>
                </pt>
                <pt idx="24">
                  <v>Y23</v>
                </pt>
                <pt idx="25">
                  <v>Y24</v>
                </pt>
                <pt idx="26">
                  <v>Y25</v>
                </pt>
                <pt idx="27">
                  <v>Y26</v>
                </pt>
                <pt idx="28">
                  <v>Y27</v>
                </pt>
                <pt idx="29">
                  <v>Y28</v>
                </pt>
                <pt idx="30">
                  <v>Y29</v>
                </pt>
                <pt idx="31">
                  <v>Y30</v>
                </pt>
                <pt idx="32">
                  <v>Y49</v>
                </pt>
                <pt idx="33">
                  <v>Y50</v>
                </pt>
              </strCache>
            </strRef>
          </cat>
          <val>
            <numRef>
              <f>('YoY Cash Flow'!$C$5:$C$36,'YoY Cash Flow'!$C$55:$C$56)</f>
              <numCache>
                <formatCode>General</formatCode>
                <ptCount val="34"/>
                <pt idx="1">
                  <v>2026</v>
                </pt>
                <pt idx="2">
                  <v>2027</v>
                </pt>
                <pt idx="3">
                  <v>2028</v>
                </pt>
                <pt idx="4">
                  <v>2029</v>
                </pt>
                <pt idx="5">
                  <v>2030</v>
                </pt>
                <pt idx="6">
                  <v>2031</v>
                </pt>
                <pt idx="7">
                  <v>2032</v>
                </pt>
                <pt idx="8">
                  <v>2033</v>
                </pt>
                <pt idx="9">
                  <v>2034</v>
                </pt>
                <pt idx="10">
                  <v>2035</v>
                </pt>
                <pt idx="11">
                  <v>2036</v>
                </pt>
                <pt idx="12">
                  <v>2037</v>
                </pt>
                <pt idx="13">
                  <v>2038</v>
                </pt>
                <pt idx="14">
                  <v>2039</v>
                </pt>
                <pt idx="15">
                  <v>2040</v>
                </pt>
                <pt idx="16">
                  <v>2041</v>
                </pt>
                <pt idx="17">
                  <v>2042</v>
                </pt>
                <pt idx="18">
                  <v>2043</v>
                </pt>
                <pt idx="19">
                  <v>2044</v>
                </pt>
                <pt idx="20">
                  <v>2045</v>
                </pt>
                <pt idx="21">
                  <v>2046</v>
                </pt>
                <pt idx="22">
                  <v>2047</v>
                </pt>
                <pt idx="23">
                  <v>2048</v>
                </pt>
                <pt idx="24">
                  <v>2049</v>
                </pt>
                <pt idx="25">
                  <v>2050</v>
                </pt>
                <pt idx="26">
                  <v>2051</v>
                </pt>
                <pt idx="27">
                  <v>2052</v>
                </pt>
                <pt idx="28">
                  <v>2053</v>
                </pt>
                <pt idx="29">
                  <v>2054</v>
                </pt>
                <pt idx="30">
                  <v>2055</v>
                </pt>
                <pt idx="31">
                  <v>2056</v>
                </pt>
                <pt idx="32">
                  <v>2075</v>
                </pt>
                <pt idx="33">
                  <v>2076</v>
                </pt>
              </numCache>
            </numRef>
          </val>
        </ser>
        <ser>
          <idx val="1"/>
          <order val="1"/>
          <tx>
            <strRef>
              <f>'YoY Cash Flow'!$I$4</f>
              <strCache>
                <ptCount val="1"/>
                <pt idx="0">
                  <v>Total Income</v>
                </pt>
              </strCache>
            </strRef>
          </tx>
          <spPr>
            <a:solidFill xmlns:a="http://schemas.openxmlformats.org/drawingml/2006/main">
              <a:schemeClr val="accent1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('YoY Cash Flow'!$B$5:$B$36,'YoY Cash Flow'!$B$55:$B$56)</f>
              <strCache>
                <ptCount val="34"/>
                <pt idx="0">
                  <v>Increase YoY (Net of Taxes) %</v>
                </pt>
                <pt idx="1">
                  <v>Y0</v>
                </pt>
                <pt idx="2">
                  <v>Y1</v>
                </pt>
                <pt idx="3">
                  <v>Y2</v>
                </pt>
                <pt idx="4">
                  <v>Y3</v>
                </pt>
                <pt idx="5">
                  <v>Y4</v>
                </pt>
                <pt idx="6">
                  <v>Y5</v>
                </pt>
                <pt idx="7">
                  <v>Y6</v>
                </pt>
                <pt idx="8">
                  <v>Y7</v>
                </pt>
                <pt idx="9">
                  <v>Y8</v>
                </pt>
                <pt idx="10">
                  <v>Y9</v>
                </pt>
                <pt idx="11">
                  <v>Y10</v>
                </pt>
                <pt idx="12">
                  <v>Y11</v>
                </pt>
                <pt idx="13">
                  <v>Y12</v>
                </pt>
                <pt idx="14">
                  <v>Y13</v>
                </pt>
                <pt idx="15">
                  <v>Y14</v>
                </pt>
                <pt idx="16">
                  <v>Y15</v>
                </pt>
                <pt idx="17">
                  <v>Y16</v>
                </pt>
                <pt idx="18">
                  <v>Y17</v>
                </pt>
                <pt idx="19">
                  <v>Y18</v>
                </pt>
                <pt idx="20">
                  <v>Y19</v>
                </pt>
                <pt idx="21">
                  <v>Y20</v>
                </pt>
                <pt idx="22">
                  <v>Y21</v>
                </pt>
                <pt idx="23">
                  <v>Y22</v>
                </pt>
                <pt idx="24">
                  <v>Y23</v>
                </pt>
                <pt idx="25">
                  <v>Y24</v>
                </pt>
                <pt idx="26">
                  <v>Y25</v>
                </pt>
                <pt idx="27">
                  <v>Y26</v>
                </pt>
                <pt idx="28">
                  <v>Y27</v>
                </pt>
                <pt idx="29">
                  <v>Y28</v>
                </pt>
                <pt idx="30">
                  <v>Y29</v>
                </pt>
                <pt idx="31">
                  <v>Y30</v>
                </pt>
                <pt idx="32">
                  <v>Y49</v>
                </pt>
                <pt idx="33">
                  <v>Y50</v>
                </pt>
              </strCache>
            </strRef>
          </cat>
          <val>
            <numRef>
              <f>('YoY Cash Flow'!$I$5:$I$36,'YoY Cash Flow'!$I$55:$I$56)</f>
              <numCache>
                <formatCode xml:space="preserve">_ * #,##0_ ;_ * \-#,##0_ ;_ * "-"??_ ;_ @_ </formatCode>
                <ptCount val="34"/>
                <pt idx="1">
                  <v>3576000</v>
                </pt>
                <pt idx="2">
                  <v>3768276</v>
                </pt>
                <pt idx="3">
                  <v>3971334.155999999</v>
                </pt>
                <pt idx="4">
                  <v>4185799.363236</v>
                </pt>
                <pt idx="5">
                  <v>4412333.689984716</v>
                </pt>
                <pt idx="6">
                  <v>4651638.636357622</v>
                </pt>
                <pt idx="7">
                  <v>4904457.532845033</v>
                </pt>
                <pt idx="8">
                  <v>5171578.087394364</v>
                </pt>
                <pt idx="9">
                  <v>5453835.090366751</v>
                </pt>
                <pt idx="10">
                  <v>5752113.287312416</v>
                </pt>
                <pt idx="11">
                  <v>6067350.43013989</v>
                </pt>
                <pt idx="12">
                  <v>6400540.517929982</v>
                </pt>
                <pt idx="13">
                  <v>6752737.239364942</v>
                </pt>
                <pt idx="14">
                  <v>7125057.629509317</v>
                </pt>
                <pt idx="15">
                  <v>7518685.954494827</v>
                </pt>
                <pt idx="16">
                  <v>7934877.838530238</v>
                </pt>
                <pt idx="17">
                  <v>8374964.648582221</v>
                </pt>
                <pt idx="18">
                  <v>8840358.153058384</v>
                </pt>
                <pt idx="19">
                  <v>9332555.471872736</v>
                </pt>
                <pt idx="20">
                  <v>9853144.336391222</v>
                </pt>
                <pt idx="21">
                  <v>10403808.67894509</v>
                </pt>
                <pt idx="22">
                  <v>4090693.974392105</v>
                </pt>
                <pt idx="23">
                  <v>4320820.073367893</v>
                </pt>
                <pt idx="24">
                  <v>4565087.212498879</v>
                </pt>
                <pt idx="25">
                  <v>4824416.392058866</v>
                </pt>
                <pt idx="26">
                  <v>1843331.08772829</v>
                </pt>
                <pt idx="27">
                  <v>1907847.67579878</v>
                </pt>
                <pt idx="28">
                  <v>1974622.344451737</v>
                </pt>
                <pt idx="29">
                  <v>2043734.126507548</v>
                </pt>
                <pt idx="30">
                  <v>2115264.820935312</v>
                </pt>
                <pt idx="31">
                  <v>2189299.089668048</v>
                </pt>
                <pt idx="32">
                  <v>4208930.383978154</v>
                </pt>
                <pt idx="33">
                  <v>4356242.947417389</v>
                </pt>
              </numCache>
            </numRef>
          </val>
        </ser>
        <ser>
          <idx val="2"/>
          <order val="2"/>
          <tx>
            <strRef>
              <f>'YoY Cash Flow'!$M$4</f>
              <strCache>
                <ptCount val="1"/>
                <pt idx="0">
                  <v>Surplus</v>
                </pt>
              </strCache>
            </strRef>
          </tx>
          <spPr>
            <a:solidFill xmlns:a="http://schemas.openxmlformats.org/drawingml/2006/main">
              <a:schemeClr val="accent5">
                <a:lumMod val="60000"/>
              </a:schemeClr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('YoY Cash Flow'!$B$5:$B$36,'YoY Cash Flow'!$B$55:$B$56)</f>
              <strCache>
                <ptCount val="34"/>
                <pt idx="0">
                  <v>Increase YoY (Net of Taxes) %</v>
                </pt>
                <pt idx="1">
                  <v>Y0</v>
                </pt>
                <pt idx="2">
                  <v>Y1</v>
                </pt>
                <pt idx="3">
                  <v>Y2</v>
                </pt>
                <pt idx="4">
                  <v>Y3</v>
                </pt>
                <pt idx="5">
                  <v>Y4</v>
                </pt>
                <pt idx="6">
                  <v>Y5</v>
                </pt>
                <pt idx="7">
                  <v>Y6</v>
                </pt>
                <pt idx="8">
                  <v>Y7</v>
                </pt>
                <pt idx="9">
                  <v>Y8</v>
                </pt>
                <pt idx="10">
                  <v>Y9</v>
                </pt>
                <pt idx="11">
                  <v>Y10</v>
                </pt>
                <pt idx="12">
                  <v>Y11</v>
                </pt>
                <pt idx="13">
                  <v>Y12</v>
                </pt>
                <pt idx="14">
                  <v>Y13</v>
                </pt>
                <pt idx="15">
                  <v>Y14</v>
                </pt>
                <pt idx="16">
                  <v>Y15</v>
                </pt>
                <pt idx="17">
                  <v>Y16</v>
                </pt>
                <pt idx="18">
                  <v>Y17</v>
                </pt>
                <pt idx="19">
                  <v>Y18</v>
                </pt>
                <pt idx="20">
                  <v>Y19</v>
                </pt>
                <pt idx="21">
                  <v>Y20</v>
                </pt>
                <pt idx="22">
                  <v>Y21</v>
                </pt>
                <pt idx="23">
                  <v>Y22</v>
                </pt>
                <pt idx="24">
                  <v>Y23</v>
                </pt>
                <pt idx="25">
                  <v>Y24</v>
                </pt>
                <pt idx="26">
                  <v>Y25</v>
                </pt>
                <pt idx="27">
                  <v>Y26</v>
                </pt>
                <pt idx="28">
                  <v>Y27</v>
                </pt>
                <pt idx="29">
                  <v>Y28</v>
                </pt>
                <pt idx="30">
                  <v>Y29</v>
                </pt>
                <pt idx="31">
                  <v>Y30</v>
                </pt>
                <pt idx="32">
                  <v>Y49</v>
                </pt>
                <pt idx="33">
                  <v>Y50</v>
                </pt>
              </strCache>
            </strRef>
          </cat>
          <val>
            <numRef>
              <f>('YoY Cash Flow'!$M$5:$M$36,'YoY Cash Flow'!$M$55:$M$56)</f>
              <numCache>
                <formatCode xml:space="preserve">_ * #,##0_ ;_ * \-#,##0_ ;_ * "-"??_ ;_ @_ </formatCode>
                <ptCount val="34"/>
                <pt idx="1">
                  <v>1344000</v>
                </pt>
                <pt idx="2">
                  <v>1413636</v>
                </pt>
                <pt idx="3">
                  <v>1485469.356</v>
                </pt>
                <pt idx="4">
                  <v>1559524.027236</v>
                </pt>
                <pt idx="5">
                  <v>1635819.080464715</v>
                </pt>
                <pt idx="6">
                  <v>1714368.004171222</v>
                </pt>
                <pt idx="7">
                  <v>1795177.956405584</v>
                </pt>
                <pt idx="8">
                  <v>1878248.940604154</v>
                </pt>
                <pt idx="9">
                  <v>1963572.903301226</v>
                </pt>
                <pt idx="10">
                  <v>2051132.747152304</v>
                </pt>
                <pt idx="11">
                  <v>2620901.252168569</v>
                </pt>
                <pt idx="12">
                  <v>2712839.897500669</v>
                </pt>
                <pt idx="13">
                  <v>2806897.575505576</v>
                </pt>
                <pt idx="14">
                  <v>2903009.189179796</v>
                </pt>
                <pt idx="15">
                  <v>3001094.123342239</v>
                </pt>
                <pt idx="16">
                  <v>3101054.579196968</v>
                </pt>
                <pt idx="17">
                  <v>3202773.761095623</v>
                </pt>
                <pt idx="18">
                  <v>3306113.903447723</v>
                </pt>
                <pt idx="19">
                  <v>3410914.124789328</v>
                </pt>
                <pt idx="20">
                  <v>3516988.095011976</v>
                </pt>
                <pt idx="21">
                  <v>3624121.500669291</v>
                </pt>
                <pt idx="22">
                  <v>-3163571.306362995</v>
                </pt>
                <pt idx="23">
                  <v>-3441243.777040064</v>
                </pt>
                <pt idx="24">
                  <v>-3740321.107437636</v>
                </pt>
                <pt idx="25">
                  <v>-4062370.510273205</v>
                </pt>
                <pt idx="26">
                  <v>-7665530.897767026</v>
                </pt>
                <pt idx="27">
                  <v>-8266634.648681208</v>
                </pt>
                <pt idx="28">
                  <v>-8912073.742741851</v>
                </pt>
                <pt idx="29">
                  <v>-9605030.686789591</v>
                </pt>
                <pt idx="30">
                  <v>-10348913.52929263</v>
                </pt>
                <pt idx="31">
                  <v>-11147371.74507585</v>
                </pt>
                <pt idx="32">
                  <v>-44023506.91555559</v>
                </pt>
                <pt idx="33">
                  <v>-47252464.96308372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19893727"/>
        <axId val="1319898527"/>
      </barChart>
      <catAx>
        <axId val="1319893727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19898527"/>
        <crosses val="autoZero"/>
        <auto val="1"/>
        <lblAlgn val="ctr"/>
        <lblOffset val="100"/>
        <noMultiLvlLbl val="0"/>
      </catAx>
      <valAx>
        <axId val="131989852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1989372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'YoY Cash Flow'!$C$4</f>
              <strCache>
                <ptCount val="1"/>
                <pt idx="0">
                  <v>Year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('YoY Cash Flow'!$B$5:$B$36,'YoY Cash Flow'!$B$55:$B$56)</f>
              <strCache>
                <ptCount val="34"/>
                <pt idx="0">
                  <v>Increase YoY (Net of Taxes) %</v>
                </pt>
                <pt idx="1">
                  <v>Y0</v>
                </pt>
                <pt idx="2">
                  <v>Y1</v>
                </pt>
                <pt idx="3">
                  <v>Y2</v>
                </pt>
                <pt idx="4">
                  <v>Y3</v>
                </pt>
                <pt idx="5">
                  <v>Y4</v>
                </pt>
                <pt idx="6">
                  <v>Y5</v>
                </pt>
                <pt idx="7">
                  <v>Y6</v>
                </pt>
                <pt idx="8">
                  <v>Y7</v>
                </pt>
                <pt idx="9">
                  <v>Y8</v>
                </pt>
                <pt idx="10">
                  <v>Y9</v>
                </pt>
                <pt idx="11">
                  <v>Y10</v>
                </pt>
                <pt idx="12">
                  <v>Y11</v>
                </pt>
                <pt idx="13">
                  <v>Y12</v>
                </pt>
                <pt idx="14">
                  <v>Y13</v>
                </pt>
                <pt idx="15">
                  <v>Y14</v>
                </pt>
                <pt idx="16">
                  <v>Y15</v>
                </pt>
                <pt idx="17">
                  <v>Y16</v>
                </pt>
                <pt idx="18">
                  <v>Y17</v>
                </pt>
                <pt idx="19">
                  <v>Y18</v>
                </pt>
                <pt idx="20">
                  <v>Y19</v>
                </pt>
                <pt idx="21">
                  <v>Y20</v>
                </pt>
                <pt idx="22">
                  <v>Y21</v>
                </pt>
                <pt idx="23">
                  <v>Y22</v>
                </pt>
                <pt idx="24">
                  <v>Y23</v>
                </pt>
                <pt idx="25">
                  <v>Y24</v>
                </pt>
                <pt idx="26">
                  <v>Y25</v>
                </pt>
                <pt idx="27">
                  <v>Y26</v>
                </pt>
                <pt idx="28">
                  <v>Y27</v>
                </pt>
                <pt idx="29">
                  <v>Y28</v>
                </pt>
                <pt idx="30">
                  <v>Y29</v>
                </pt>
                <pt idx="31">
                  <v>Y30</v>
                </pt>
                <pt idx="32">
                  <v>Y49</v>
                </pt>
                <pt idx="33">
                  <v>Y50</v>
                </pt>
              </strCache>
            </strRef>
          </cat>
          <val>
            <numRef>
              <f>('YoY Cash Flow'!$C$5:$C$36,'YoY Cash Flow'!$C$55:$C$56)</f>
              <numCache>
                <formatCode>General</formatCode>
                <ptCount val="34"/>
                <pt idx="1">
                  <v>2026</v>
                </pt>
                <pt idx="2">
                  <v>2027</v>
                </pt>
                <pt idx="3">
                  <v>2028</v>
                </pt>
                <pt idx="4">
                  <v>2029</v>
                </pt>
                <pt idx="5">
                  <v>2030</v>
                </pt>
                <pt idx="6">
                  <v>2031</v>
                </pt>
                <pt idx="7">
                  <v>2032</v>
                </pt>
                <pt idx="8">
                  <v>2033</v>
                </pt>
                <pt idx="9">
                  <v>2034</v>
                </pt>
                <pt idx="10">
                  <v>2035</v>
                </pt>
                <pt idx="11">
                  <v>2036</v>
                </pt>
                <pt idx="12">
                  <v>2037</v>
                </pt>
                <pt idx="13">
                  <v>2038</v>
                </pt>
                <pt idx="14">
                  <v>2039</v>
                </pt>
                <pt idx="15">
                  <v>2040</v>
                </pt>
                <pt idx="16">
                  <v>2041</v>
                </pt>
                <pt idx="17">
                  <v>2042</v>
                </pt>
                <pt idx="18">
                  <v>2043</v>
                </pt>
                <pt idx="19">
                  <v>2044</v>
                </pt>
                <pt idx="20">
                  <v>2045</v>
                </pt>
                <pt idx="21">
                  <v>2046</v>
                </pt>
                <pt idx="22">
                  <v>2047</v>
                </pt>
                <pt idx="23">
                  <v>2048</v>
                </pt>
                <pt idx="24">
                  <v>2049</v>
                </pt>
                <pt idx="25">
                  <v>2050</v>
                </pt>
                <pt idx="26">
                  <v>2051</v>
                </pt>
                <pt idx="27">
                  <v>2052</v>
                </pt>
                <pt idx="28">
                  <v>2053</v>
                </pt>
                <pt idx="29">
                  <v>2054</v>
                </pt>
                <pt idx="30">
                  <v>2055</v>
                </pt>
                <pt idx="31">
                  <v>2056</v>
                </pt>
                <pt idx="32">
                  <v>2075</v>
                </pt>
                <pt idx="33">
                  <v>2076</v>
                </pt>
              </numCache>
            </numRef>
          </val>
          <smooth val="0"/>
        </ser>
        <ser>
          <idx val="1"/>
          <order val="1"/>
          <tx>
            <strRef>
              <f>'YoY Cash Flow'!$V$4</f>
              <strCache>
                <ptCount val="1"/>
                <pt idx="0">
                  <v>Closing Balance of Financial Assets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80000"/>
                </a:schemeClr>
              </a:solidFill>
              <a:ln xmlns:a="http://schemas.openxmlformats.org/drawingml/2006/main" w="9525">
                <a:solidFill>
                  <a:schemeClr val="accent1">
                    <a:lumMod val="80000"/>
                  </a:schemeClr>
                </a:solidFill>
                <a:prstDash val="solid"/>
              </a:ln>
            </spPr>
          </marker>
          <cat>
            <strRef>
              <f>('YoY Cash Flow'!$B$5:$B$36,'YoY Cash Flow'!$B$55:$B$56)</f>
              <strCache>
                <ptCount val="34"/>
                <pt idx="0">
                  <v>Increase YoY (Net of Taxes) %</v>
                </pt>
                <pt idx="1">
                  <v>Y0</v>
                </pt>
                <pt idx="2">
                  <v>Y1</v>
                </pt>
                <pt idx="3">
                  <v>Y2</v>
                </pt>
                <pt idx="4">
                  <v>Y3</v>
                </pt>
                <pt idx="5">
                  <v>Y4</v>
                </pt>
                <pt idx="6">
                  <v>Y5</v>
                </pt>
                <pt idx="7">
                  <v>Y6</v>
                </pt>
                <pt idx="8">
                  <v>Y7</v>
                </pt>
                <pt idx="9">
                  <v>Y8</v>
                </pt>
                <pt idx="10">
                  <v>Y9</v>
                </pt>
                <pt idx="11">
                  <v>Y10</v>
                </pt>
                <pt idx="12">
                  <v>Y11</v>
                </pt>
                <pt idx="13">
                  <v>Y12</v>
                </pt>
                <pt idx="14">
                  <v>Y13</v>
                </pt>
                <pt idx="15">
                  <v>Y14</v>
                </pt>
                <pt idx="16">
                  <v>Y15</v>
                </pt>
                <pt idx="17">
                  <v>Y16</v>
                </pt>
                <pt idx="18">
                  <v>Y17</v>
                </pt>
                <pt idx="19">
                  <v>Y18</v>
                </pt>
                <pt idx="20">
                  <v>Y19</v>
                </pt>
                <pt idx="21">
                  <v>Y20</v>
                </pt>
                <pt idx="22">
                  <v>Y21</v>
                </pt>
                <pt idx="23">
                  <v>Y22</v>
                </pt>
                <pt idx="24">
                  <v>Y23</v>
                </pt>
                <pt idx="25">
                  <v>Y24</v>
                </pt>
                <pt idx="26">
                  <v>Y25</v>
                </pt>
                <pt idx="27">
                  <v>Y26</v>
                </pt>
                <pt idx="28">
                  <v>Y27</v>
                </pt>
                <pt idx="29">
                  <v>Y28</v>
                </pt>
                <pt idx="30">
                  <v>Y29</v>
                </pt>
                <pt idx="31">
                  <v>Y30</v>
                </pt>
                <pt idx="32">
                  <v>Y49</v>
                </pt>
                <pt idx="33">
                  <v>Y50</v>
                </pt>
              </strCache>
            </strRef>
          </cat>
          <val>
            <numRef>
              <f>('YoY Cash Flow'!$V$5:$V$36,'YoY Cash Flow'!$V$55:$V$56)</f>
              <numCache>
                <formatCode xml:space="preserve">_ * #,##0_ ;_ * \-#,##0_ ;_ * "-"??_ ;_ @_ </formatCode>
                <ptCount val="34"/>
                <pt idx="1">
                  <v>19034055.91388509</v>
                </pt>
                <pt idx="2">
                  <v>21714377.92263719</v>
                </pt>
                <pt idx="3">
                  <v>24640822.50862382</v>
                </pt>
                <pt idx="4">
                  <v>26311818.8891203</v>
                </pt>
                <pt idx="5">
                  <v>28829753.07972864</v>
                </pt>
                <pt idx="6">
                  <v>32449002.70202258</v>
                </pt>
                <pt idx="7">
                  <v>36383886.39309682</v>
                </pt>
                <pt idx="8">
                  <v>40656990.59043392</v>
                </pt>
                <pt idx="9">
                  <v>45292342.69311794</v>
                </pt>
                <pt idx="10">
                  <v>50315494.18804041</v>
                </pt>
                <pt idx="11">
                  <v>56249007.75260837</v>
                </pt>
                <pt idx="12">
                  <v>45792928.38227867</v>
                </pt>
                <pt idx="13">
                  <v>51628212.18252055</v>
                </pt>
                <pt idx="14">
                  <v>42666412.09718837</v>
                </pt>
                <pt idx="15">
                  <v>48501507.86907477</v>
                </pt>
                <pt idx="16">
                  <v>39971059.72101777</v>
                </pt>
                <pt idx="17">
                  <v>32027675.33386479</v>
                </pt>
                <pt idx="18">
                  <v>37494935.321158</v>
                </pt>
                <pt idx="19">
                  <v>43421168.10845665</v>
                </pt>
                <pt idx="20">
                  <v>26145843.7363743</v>
                </pt>
                <pt idx="21">
                  <v>31563902.35461126</v>
                </pt>
                <pt idx="22">
                  <v>30324153.05856774</v>
                </pt>
                <pt idx="23">
                  <v>28718273.45497087</v>
                </pt>
                <pt idx="24">
                  <v>26700678.966515</v>
                </pt>
                <pt idx="25">
                  <v>34221242.55852699</v>
                </pt>
                <pt idx="26">
                  <v>28505608.0508582</v>
                </pt>
                <pt idx="27">
                  <v>31802837.28171902</v>
                </pt>
                <pt idx="28">
                  <v>24645488.76619012</v>
                </pt>
                <pt idx="29">
                  <v>26313695.36951946</v>
                </pt>
                <pt idx="30">
                  <v>17321194.82849029</v>
                </pt>
                <pt idx="31">
                  <v>16927609.63294143</v>
                </pt>
                <pt idx="32">
                  <v>-709622038.2500772</v>
                </pt>
                <pt idx="33">
                  <v>-653923855.2088764</v>
                </pt>
              </numCache>
            </numRef>
          </val>
          <smooth val="0"/>
        </ser>
        <ser>
          <idx val="2"/>
          <order val="2"/>
          <tx>
            <strRef>
              <f>'YoY Cash Flow'!$AA$4</f>
              <strCache>
                <ptCount val="1"/>
                <pt idx="0">
                  <v>Closing Balance of Non Finanical Assets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80000"/>
                </a:schemeClr>
              </a:solidFill>
              <a:ln xmlns:a="http://schemas.openxmlformats.org/drawingml/2006/main" w="9525">
                <a:solidFill>
                  <a:schemeClr val="accent6">
                    <a:lumMod val="80000"/>
                  </a:schemeClr>
                </a:solidFill>
                <a:prstDash val="solid"/>
              </a:ln>
            </spPr>
          </marker>
          <cat>
            <strRef>
              <f>('YoY Cash Flow'!$B$5:$B$36,'YoY Cash Flow'!$B$55:$B$56)</f>
              <strCache>
                <ptCount val="34"/>
                <pt idx="0">
                  <v>Increase YoY (Net of Taxes) %</v>
                </pt>
                <pt idx="1">
                  <v>Y0</v>
                </pt>
                <pt idx="2">
                  <v>Y1</v>
                </pt>
                <pt idx="3">
                  <v>Y2</v>
                </pt>
                <pt idx="4">
                  <v>Y3</v>
                </pt>
                <pt idx="5">
                  <v>Y4</v>
                </pt>
                <pt idx="6">
                  <v>Y5</v>
                </pt>
                <pt idx="7">
                  <v>Y6</v>
                </pt>
                <pt idx="8">
                  <v>Y7</v>
                </pt>
                <pt idx="9">
                  <v>Y8</v>
                </pt>
                <pt idx="10">
                  <v>Y9</v>
                </pt>
                <pt idx="11">
                  <v>Y10</v>
                </pt>
                <pt idx="12">
                  <v>Y11</v>
                </pt>
                <pt idx="13">
                  <v>Y12</v>
                </pt>
                <pt idx="14">
                  <v>Y13</v>
                </pt>
                <pt idx="15">
                  <v>Y14</v>
                </pt>
                <pt idx="16">
                  <v>Y15</v>
                </pt>
                <pt idx="17">
                  <v>Y16</v>
                </pt>
                <pt idx="18">
                  <v>Y17</v>
                </pt>
                <pt idx="19">
                  <v>Y18</v>
                </pt>
                <pt idx="20">
                  <v>Y19</v>
                </pt>
                <pt idx="21">
                  <v>Y20</v>
                </pt>
                <pt idx="22">
                  <v>Y21</v>
                </pt>
                <pt idx="23">
                  <v>Y22</v>
                </pt>
                <pt idx="24">
                  <v>Y23</v>
                </pt>
                <pt idx="25">
                  <v>Y24</v>
                </pt>
                <pt idx="26">
                  <v>Y25</v>
                </pt>
                <pt idx="27">
                  <v>Y26</v>
                </pt>
                <pt idx="28">
                  <v>Y27</v>
                </pt>
                <pt idx="29">
                  <v>Y28</v>
                </pt>
                <pt idx="30">
                  <v>Y29</v>
                </pt>
                <pt idx="31">
                  <v>Y30</v>
                </pt>
                <pt idx="32">
                  <v>Y49</v>
                </pt>
                <pt idx="33">
                  <v>Y50</v>
                </pt>
              </strCache>
            </strRef>
          </cat>
          <val>
            <numRef>
              <f>('YoY Cash Flow'!$AA$5:$AA$36,'YoY Cash Flow'!$AA$55:$AA$56)</f>
              <numCache>
                <formatCode xml:space="preserve">_ * #,##0_ ;_ * \-#,##0_ ;_ * "-"??_ ;_ @_ </formatCode>
                <ptCount val="34"/>
                <pt idx="1">
                  <v>26215000</v>
                </pt>
                <pt idx="2">
                  <v>28050050</v>
                </pt>
                <pt idx="3">
                  <v>30013553.5</v>
                </pt>
                <pt idx="4">
                  <v>32114502.245</v>
                </pt>
                <pt idx="5">
                  <v>34362517.40215001</v>
                </pt>
                <pt idx="6">
                  <v>36767893.62030051</v>
                </pt>
                <pt idx="7">
                  <v>39341646.17372154</v>
                </pt>
                <pt idx="8">
                  <v>42095561.40588205</v>
                </pt>
                <pt idx="9">
                  <v>45042250.70429379</v>
                </pt>
                <pt idx="10">
                  <v>48195208.25359436</v>
                </pt>
                <pt idx="11">
                  <v>51568872.83134597</v>
                </pt>
                <pt idx="12">
                  <v>55178693.92954019</v>
                </pt>
                <pt idx="13">
                  <v>59041202.504608</v>
                </pt>
                <pt idx="14">
                  <v>63174086.67993056</v>
                </pt>
                <pt idx="15">
                  <v>67596272.74752571</v>
                </pt>
                <pt idx="16">
                  <v>72328011.83985251</v>
                </pt>
                <pt idx="17">
                  <v>77390972.66864219</v>
                </pt>
                <pt idx="18">
                  <v>82808340.75544715</v>
                </pt>
                <pt idx="19">
                  <v>88604924.60832845</v>
                </pt>
                <pt idx="20">
                  <v>94807269.33091144</v>
                </pt>
                <pt idx="21">
                  <v>101443778.1840753</v>
                </pt>
                <pt idx="22">
                  <v>108544842.6569605</v>
                </pt>
                <pt idx="23">
                  <v>116142981.6429477</v>
                </pt>
                <pt idx="24">
                  <v>124272990.3579541</v>
                </pt>
                <pt idx="25">
                  <v>132972099.6830109</v>
                </pt>
                <pt idx="26">
                  <v>142280146.6608216</v>
                </pt>
                <pt idx="27">
                  <v>152239756.9270792</v>
                </pt>
                <pt idx="28">
                  <v>162896539.9119747</v>
                </pt>
                <pt idx="29">
                  <v>174299297.705813</v>
                </pt>
                <pt idx="30">
                  <v>186500248.5452199</v>
                </pt>
                <pt idx="31">
                  <v>199555265.9433853</v>
                </pt>
                <pt idx="32">
                  <v>721697114.0452483</v>
                </pt>
                <pt idx="33">
                  <v>572215912.0284157</v>
                </pt>
              </numCache>
            </numRef>
          </val>
          <smooth val="0"/>
        </ser>
        <ser>
          <idx val="3"/>
          <order val="3"/>
          <tx>
            <strRef>
              <f>'YoY Cash Flow'!$AC$4</f>
              <strCache>
                <ptCount val="1"/>
                <pt idx="0">
                  <v>Total Networth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60000"/>
                  <a:lumOff val="40000"/>
                </a:schemeClr>
              </a:solidFill>
              <a:ln xmlns:a="http://schemas.openxmlformats.org/drawingml/2006/main"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spPr>
          </marker>
          <cat>
            <strRef>
              <f>('YoY Cash Flow'!$B$5:$B$36,'YoY Cash Flow'!$B$55:$B$56)</f>
              <strCache>
                <ptCount val="34"/>
                <pt idx="0">
                  <v>Increase YoY (Net of Taxes) %</v>
                </pt>
                <pt idx="1">
                  <v>Y0</v>
                </pt>
                <pt idx="2">
                  <v>Y1</v>
                </pt>
                <pt idx="3">
                  <v>Y2</v>
                </pt>
                <pt idx="4">
                  <v>Y3</v>
                </pt>
                <pt idx="5">
                  <v>Y4</v>
                </pt>
                <pt idx="6">
                  <v>Y5</v>
                </pt>
                <pt idx="7">
                  <v>Y6</v>
                </pt>
                <pt idx="8">
                  <v>Y7</v>
                </pt>
                <pt idx="9">
                  <v>Y8</v>
                </pt>
                <pt idx="10">
                  <v>Y9</v>
                </pt>
                <pt idx="11">
                  <v>Y10</v>
                </pt>
                <pt idx="12">
                  <v>Y11</v>
                </pt>
                <pt idx="13">
                  <v>Y12</v>
                </pt>
                <pt idx="14">
                  <v>Y13</v>
                </pt>
                <pt idx="15">
                  <v>Y14</v>
                </pt>
                <pt idx="16">
                  <v>Y15</v>
                </pt>
                <pt idx="17">
                  <v>Y16</v>
                </pt>
                <pt idx="18">
                  <v>Y17</v>
                </pt>
                <pt idx="19">
                  <v>Y18</v>
                </pt>
                <pt idx="20">
                  <v>Y19</v>
                </pt>
                <pt idx="21">
                  <v>Y20</v>
                </pt>
                <pt idx="22">
                  <v>Y21</v>
                </pt>
                <pt idx="23">
                  <v>Y22</v>
                </pt>
                <pt idx="24">
                  <v>Y23</v>
                </pt>
                <pt idx="25">
                  <v>Y24</v>
                </pt>
                <pt idx="26">
                  <v>Y25</v>
                </pt>
                <pt idx="27">
                  <v>Y26</v>
                </pt>
                <pt idx="28">
                  <v>Y27</v>
                </pt>
                <pt idx="29">
                  <v>Y28</v>
                </pt>
                <pt idx="30">
                  <v>Y29</v>
                </pt>
                <pt idx="31">
                  <v>Y30</v>
                </pt>
                <pt idx="32">
                  <v>Y49</v>
                </pt>
                <pt idx="33">
                  <v>Y50</v>
                </pt>
              </strCache>
            </strRef>
          </cat>
          <val>
            <numRef>
              <f>('YoY Cash Flow'!$AC$5:$AC$36,'YoY Cash Flow'!$AC$55:$AC$56)</f>
              <numCache>
                <formatCode xml:space="preserve">_ * #,##0_ ;_ * \-#,##0_ ;_ * "-"??_ ;_ @_ </formatCode>
                <ptCount val="34"/>
                <pt idx="1">
                  <v>45249055.91388509</v>
                </pt>
                <pt idx="2">
                  <v>49764427.92263719</v>
                </pt>
                <pt idx="3">
                  <v>54654376.00862382</v>
                </pt>
                <pt idx="4">
                  <v>58426321.1341203</v>
                </pt>
                <pt idx="5">
                  <v>63192270.48187865</v>
                </pt>
                <pt idx="6">
                  <v>69216896.32232308</v>
                </pt>
                <pt idx="7">
                  <v>75725532.56681836</v>
                </pt>
                <pt idx="8">
                  <v>82752551.99631597</v>
                </pt>
                <pt idx="9">
                  <v>90334593.39741173</v>
                </pt>
                <pt idx="10">
                  <v>98510702.44163477</v>
                </pt>
                <pt idx="11">
                  <v>107817880.5839543</v>
                </pt>
                <pt idx="12">
                  <v>100971622.3118189</v>
                </pt>
                <pt idx="13">
                  <v>110669414.6871285</v>
                </pt>
                <pt idx="14">
                  <v>105840498.7771189</v>
                </pt>
                <pt idx="15">
                  <v>116097780.6166005</v>
                </pt>
                <pt idx="16">
                  <v>112299071.5608703</v>
                </pt>
                <pt idx="17">
                  <v>109418648.002507</v>
                </pt>
                <pt idx="18">
                  <v>120303276.0766051</v>
                </pt>
                <pt idx="19">
                  <v>132026092.7167851</v>
                </pt>
                <pt idx="20">
                  <v>120953113.0672857</v>
                </pt>
                <pt idx="21">
                  <v>133007680.5386865</v>
                </pt>
                <pt idx="22">
                  <v>138868995.7155282</v>
                </pt>
                <pt idx="23">
                  <v>144861255.0979186</v>
                </pt>
                <pt idx="24">
                  <v>150973669.3244691</v>
                </pt>
                <pt idx="25">
                  <v>167193342.2415379</v>
                </pt>
                <pt idx="26">
                  <v>170785754.7116798</v>
                </pt>
                <pt idx="27">
                  <v>184042594.2087982</v>
                </pt>
                <pt idx="28">
                  <v>187542028.6781648</v>
                </pt>
                <pt idx="29">
                  <v>200612993.0753324</v>
                </pt>
                <pt idx="30">
                  <v>203821443.3737102</v>
                </pt>
                <pt idx="31">
                  <v>216482875.5763267</v>
                </pt>
                <pt idx="32">
                  <v>12075075.79517102</v>
                </pt>
                <pt idx="33">
                  <v>-81707943.18046069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319893727"/>
        <axId val="1319898527"/>
      </lineChart>
      <catAx>
        <axId val="1319893727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19898527"/>
        <crosses val="autoZero"/>
        <auto val="1"/>
        <lblAlgn val="ctr"/>
        <lblOffset val="100"/>
        <noMultiLvlLbl val="0"/>
      </catAx>
      <valAx>
        <axId val="131989852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1989372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tc={A9301EB4-DCA9-4B30-AEE8-2F2CCC4048B5}</author>
    <author>tc={21B57543-D3C4-44ED-99F6-9185BD4CE329}</author>
  </authors>
  <commentList>
    <comment ref="S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Assumed all savings will be invested in financial assets at blended income rates. Hence separate earnings rates from respective financial assets are not considered </t>
      </text>
    </comment>
    <comment ref="Y56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of residential house by bank, given for reverse mortgage post death </t>
      </text>
    </comment>
  </commentList>
</comments>
</file>

<file path=xl/comments/comment2.xml><?xml version="1.0" encoding="utf-8"?>
<comments xmlns="http://schemas.openxmlformats.org/spreadsheetml/2006/main">
  <authors>
    <author>tc={1EB8C0F2-22C0-419C-B572-44F0020CE80E}</author>
  </authors>
  <commentList>
    <comment ref="F5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Variable field</t>
      </text>
    </comment>
  </commentList>
</comments>
</file>

<file path=xl/comments/comment3.xml><?xml version="1.0" encoding="utf-8"?>
<comments xmlns="http://schemas.openxmlformats.org/spreadsheetml/2006/main">
  <authors>
    <author>tc={4A590FEC-2392-467D-AA04-3BB3AA845172}</author>
    <author>tc={EA8D549A-8958-476B-BE8B-A85064DA399F}</author>
  </authors>
  <commentList>
    <comment ref="M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Remaining value of needs</t>
      </text>
    </comment>
    <comment ref="Q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Remaining value of needs</t>
      </text>
    </comment>
  </commentList>
</comments>
</file>

<file path=xl/comments/comment4.xml><?xml version="1.0" encoding="utf-8"?>
<comments xmlns="http://schemas.openxmlformats.org/spreadsheetml/2006/main">
  <authors>
    <author>tc={F05C3F59-7050-415F-9481-998DCFCD8FA7}</author>
  </authors>
  <commentList>
    <comment ref="E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year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8</col>
      <colOff>44450</colOff>
      <row>59</row>
      <rowOff>117475</rowOff>
    </from>
    <to>
      <col>16</col>
      <colOff>1047750</colOff>
      <row>75</row>
      <rowOff>15875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19</col>
      <colOff>641350</colOff>
      <row>60</row>
      <rowOff>95250</rowOff>
    </from>
    <to>
      <col>29</col>
      <colOff>152400</colOff>
      <row>75</row>
      <rowOff>171450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www.youtube.com/watch?v=6UrB76IQvo4&amp;utm_source=chatgpt.com" TargetMode="External" Id="rId1"/><Relationship Type="http://schemas.openxmlformats.org/officeDocument/2006/relationships/hyperlink" Target="https://www.pib.gov.in/PressReleaseIframePage.aspx?PRID=2036604&amp;utm_source=chatgpt.com" TargetMode="External" Id="rId2"/><Relationship Type="http://schemas.openxmlformats.org/officeDocument/2006/relationships/hyperlink" Target="https://www.incometaxindia.gov.in/w/capital-gain?utm_source=chatgpt.com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tabSelected="1" workbookViewId="0">
      <selection activeCell="D14" sqref="D14"/>
    </sheetView>
  </sheetViews>
  <sheetFormatPr baseColWidth="8" defaultRowHeight="14"/>
  <sheetData>
    <row r="2">
      <c r="B2" s="65" t="n"/>
    </row>
    <row r="3">
      <c r="B3" s="22" t="inlineStr">
        <is>
          <t xml:space="preserve">YoY CF : Blended ROI on financial assets are considered. Separate ROI and value of respective financial assets can be computed </t>
        </is>
      </c>
    </row>
    <row r="4">
      <c r="B4" s="2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G45"/>
  <sheetViews>
    <sheetView showGridLines="0" topLeftCell="A21" workbookViewId="0">
      <selection activeCell="B1" sqref="B1"/>
    </sheetView>
  </sheetViews>
  <sheetFormatPr baseColWidth="8" defaultRowHeight="14"/>
  <cols>
    <col width="18.6640625" customWidth="1" min="3" max="3"/>
  </cols>
  <sheetData>
    <row r="3">
      <c r="B3" s="27" t="inlineStr">
        <is>
          <t>TABs</t>
        </is>
      </c>
      <c r="C3" s="27" t="n"/>
      <c r="D3" s="27" t="n"/>
      <c r="E3" s="27" t="n"/>
      <c r="F3" s="27" t="n"/>
      <c r="G3" s="27" t="n"/>
    </row>
    <row r="4" ht="14.5" customHeight="1">
      <c r="B4" s="305" t="inlineStr">
        <is>
          <t>1a_Personal_Details</t>
        </is>
      </c>
    </row>
    <row r="5" ht="14.5" customHeight="1">
      <c r="B5" s="305" t="inlineStr">
        <is>
          <t>1b_Surplus &amp; Net Worth</t>
        </is>
      </c>
    </row>
    <row r="6" ht="14.5" customHeight="1">
      <c r="B6" s="305" t="inlineStr">
        <is>
          <t>2_Income_Details</t>
        </is>
      </c>
    </row>
    <row r="7" ht="14.5" customHeight="1">
      <c r="B7" s="305" t="inlineStr">
        <is>
          <t>3_Expenses</t>
        </is>
      </c>
    </row>
    <row r="8" ht="14.5" customHeight="1">
      <c r="B8" s="305" t="inlineStr">
        <is>
          <t>4A_Mutual_Funds</t>
        </is>
      </c>
    </row>
    <row r="9" ht="14.5" customHeight="1">
      <c r="B9" s="305" t="inlineStr">
        <is>
          <t>4B_Equity_Stocks</t>
        </is>
      </c>
    </row>
    <row r="10" ht="14.5" customHeight="1">
      <c r="B10" s="305" t="inlineStr">
        <is>
          <t>4C_Fixed_Income</t>
        </is>
      </c>
    </row>
    <row r="11" ht="14.5" customHeight="1">
      <c r="B11" s="305" t="inlineStr">
        <is>
          <t>4D_Real_Estate</t>
        </is>
      </c>
    </row>
    <row r="12" ht="14.5" customHeight="1">
      <c r="B12" s="305" t="inlineStr">
        <is>
          <t>4E_Gold_Others</t>
        </is>
      </c>
    </row>
    <row r="13" ht="14.5" customHeight="1">
      <c r="B13" s="305" t="inlineStr">
        <is>
          <t>5_Monthly_Investments</t>
        </is>
      </c>
    </row>
    <row r="14" ht="14.5" customHeight="1">
      <c r="B14" s="305" t="inlineStr">
        <is>
          <t>6_Liquid_Capital</t>
        </is>
      </c>
    </row>
    <row r="15" ht="14.5" customHeight="1">
      <c r="B15" s="305" t="inlineStr">
        <is>
          <t>7_Emergency_Fund</t>
        </is>
      </c>
    </row>
    <row r="16" ht="14.5" customHeight="1">
      <c r="B16" s="305" t="inlineStr">
        <is>
          <t>8_Loans_Liabilities</t>
        </is>
      </c>
    </row>
    <row r="17" ht="14.5" customHeight="1">
      <c r="B17" s="305" t="inlineStr">
        <is>
          <t>9_Insurance_Details</t>
        </is>
      </c>
    </row>
    <row r="18" ht="14.5" customHeight="1">
      <c r="B18" s="305" t="inlineStr">
        <is>
          <t>10_Financial_Goals</t>
        </is>
      </c>
    </row>
    <row r="20">
      <c r="B20" s="65" t="inlineStr">
        <is>
          <t xml:space="preserve">Computation Tabs (Coloured in Orange) </t>
        </is>
      </c>
    </row>
    <row r="22">
      <c r="B22" s="65" t="inlineStr">
        <is>
          <t>Assumptions &amp; Computation</t>
        </is>
      </c>
    </row>
    <row r="23" ht="14.5" customHeight="1">
      <c r="B23" s="305" t="inlineStr">
        <is>
          <t>YoY Cash Flow</t>
        </is>
      </c>
    </row>
    <row r="24" ht="14.5" customHeight="1">
      <c r="B24" s="305" t="inlineStr">
        <is>
          <t>Debt Mgt</t>
        </is>
      </c>
    </row>
    <row r="25" ht="14.5" customHeight="1">
      <c r="B25" s="305" t="inlineStr">
        <is>
          <t>Tax Planning</t>
        </is>
      </c>
    </row>
    <row r="26" ht="14.5" customHeight="1">
      <c r="B26" s="305" t="inlineStr">
        <is>
          <t>Insurance Computation</t>
        </is>
      </c>
    </row>
    <row r="27" ht="14.5" customHeight="1">
      <c r="B27" s="305" t="inlineStr">
        <is>
          <t>Retirement Plan</t>
        </is>
      </c>
    </row>
    <row r="28" ht="14.5" customHeight="1">
      <c r="B28" s="305" t="inlineStr">
        <is>
          <t>11. Inc Exp,Networth,Rec Invest</t>
        </is>
      </c>
    </row>
    <row r="29" ht="14.5" customHeight="1">
      <c r="B29" s="305" t="inlineStr">
        <is>
          <t xml:space="preserve">10_Financial_Goals (Inputs and Processing - aligning current assets with current goals/obligations) </t>
        </is>
      </c>
    </row>
    <row r="31">
      <c r="B31" s="22" t="inlineStr">
        <is>
          <t>Notes</t>
        </is>
      </c>
    </row>
    <row r="32">
      <c r="B32" s="22" t="inlineStr">
        <is>
          <t>Computation of Retirement Corpus can be done separately considering inputs and assumptions</t>
        </is>
      </c>
    </row>
    <row r="33">
      <c r="B33" s="22" t="inlineStr">
        <is>
          <t>Computation of Insurance Cover for Life and Health to be done separately considering inputs and assumptions</t>
        </is>
      </c>
    </row>
    <row r="34">
      <c r="B34" s="22" t="inlineStr">
        <is>
          <t>Risk Appetite of client to be done based on responses from clients on risk questannaire</t>
        </is>
      </c>
    </row>
    <row r="35">
      <c r="B35" s="22" t="n"/>
    </row>
    <row r="36">
      <c r="D36" s="478" t="n"/>
      <c r="E36" s="479" t="n"/>
    </row>
    <row r="37">
      <c r="D37" s="479" t="n"/>
      <c r="E37" s="479" t="n"/>
    </row>
    <row r="38">
      <c r="D38" s="478" t="n"/>
      <c r="E38" s="479" t="n"/>
    </row>
    <row r="39">
      <c r="D39" s="478" t="n"/>
      <c r="E39" s="479" t="n"/>
    </row>
    <row r="40">
      <c r="D40" s="478" t="n"/>
      <c r="E40" s="479" t="n"/>
    </row>
    <row r="41">
      <c r="D41" s="478" t="n"/>
      <c r="E41" s="479" t="n"/>
    </row>
    <row r="42">
      <c r="D42" s="478" t="n"/>
      <c r="E42" s="479" t="n"/>
    </row>
    <row r="43">
      <c r="D43" s="478" t="n"/>
      <c r="E43" s="479" t="n"/>
    </row>
    <row r="45">
      <c r="B45" s="2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B1:Z73"/>
  <sheetViews>
    <sheetView workbookViewId="0">
      <selection activeCell="E44" sqref="E44"/>
    </sheetView>
  </sheetViews>
  <sheetFormatPr baseColWidth="8" defaultRowHeight="14"/>
  <cols>
    <col width="6.5" customWidth="1" min="1" max="1"/>
    <col width="45.5" customWidth="1" min="2" max="2"/>
    <col width="13.25" customWidth="1" min="3" max="3"/>
    <col width="19.4140625" bestFit="1" customWidth="1" min="4" max="4"/>
    <col width="16.75" customWidth="1" min="5" max="5"/>
    <col width="24.25" customWidth="1" min="6" max="6"/>
    <col width="16.4140625" customWidth="1" min="7" max="7"/>
    <col width="16.1640625" customWidth="1" min="8" max="8"/>
    <col width="13.58203125" bestFit="1" customWidth="1" min="9" max="9"/>
    <col width="11.9140625" bestFit="1" customWidth="1" min="10" max="22"/>
    <col width="11.75" customWidth="1" min="23" max="23"/>
    <col width="11" bestFit="1" customWidth="1" min="24" max="24"/>
    <col width="8.08203125" bestFit="1" customWidth="1" min="25" max="25"/>
    <col width="14.1640625" bestFit="1" customWidth="1" min="26" max="26"/>
  </cols>
  <sheetData>
    <row r="1">
      <c r="B1" s="123" t="inlineStr">
        <is>
          <t>Assumptions</t>
        </is>
      </c>
      <c r="C1" s="123" t="n"/>
      <c r="D1" s="124" t="n"/>
      <c r="E1" s="124" t="n"/>
    </row>
    <row r="2">
      <c r="B2" s="5" t="inlineStr">
        <is>
          <t xml:space="preserve">Inflation </t>
        </is>
      </c>
      <c r="C2" s="5" t="n"/>
    </row>
    <row r="3">
      <c r="B3" t="inlineStr">
        <is>
          <t>General Inflation (Household)</t>
        </is>
      </c>
      <c r="D3" s="479" t="n">
        <v>0.07000000000000001</v>
      </c>
    </row>
    <row r="4">
      <c r="B4" t="inlineStr">
        <is>
          <t>Educational Inflation</t>
        </is>
      </c>
      <c r="D4" s="97" t="n">
        <v>0.08</v>
      </c>
    </row>
    <row r="5">
      <c r="B5" t="inlineStr">
        <is>
          <t>Medical Inflation</t>
        </is>
      </c>
      <c r="D5" s="97" t="n">
        <v>0.09</v>
      </c>
    </row>
    <row r="6">
      <c r="B6" t="inlineStr">
        <is>
          <t>Wedding Inflation</t>
        </is>
      </c>
      <c r="D6" s="97" t="n">
        <v>0.08</v>
      </c>
    </row>
    <row r="7">
      <c r="B7" t="inlineStr">
        <is>
          <t>Personalised (Lifestyle) inflation</t>
        </is>
      </c>
      <c r="D7" s="97" t="n">
        <v>0.2</v>
      </c>
      <c r="E7" t="inlineStr">
        <is>
          <t>(Scooter to Sedan/SUV in 10 years - PV 1Lac, FV 15L, Time 10 Yrs) OR Basic Phone of Rs3K to Feature phone of Rs 50K</t>
        </is>
      </c>
    </row>
    <row r="8">
      <c r="B8" t="inlineStr">
        <is>
          <t>Real Estate Inflation</t>
        </is>
      </c>
      <c r="D8" s="97" t="n">
        <v>0.08</v>
      </c>
    </row>
    <row r="9">
      <c r="B9" t="inlineStr">
        <is>
          <t>Vacation Inflation</t>
        </is>
      </c>
      <c r="D9" s="97" t="n">
        <v>0.08</v>
      </c>
    </row>
    <row r="10">
      <c r="D10" s="97" t="n"/>
    </row>
    <row r="11">
      <c r="B11" s="5" t="inlineStr">
        <is>
          <t>ROI</t>
        </is>
      </c>
      <c r="D11" s="98" t="inlineStr">
        <is>
          <t>Pre Tax</t>
        </is>
      </c>
      <c r="E11" s="98" t="inlineStr">
        <is>
          <t>Post Tax</t>
        </is>
      </c>
    </row>
    <row r="12">
      <c r="B12" t="inlineStr">
        <is>
          <t>Income form Employment</t>
        </is>
      </c>
      <c r="D12" s="479">
        <f>8%</f>
        <v/>
      </c>
      <c r="E12" s="479">
        <f>D12*0.7</f>
        <v/>
      </c>
    </row>
    <row r="13">
      <c r="B13" t="inlineStr">
        <is>
          <t>Income from  business/profession</t>
        </is>
      </c>
      <c r="D13" s="479" t="n">
        <v>0.1</v>
      </c>
      <c r="E13" s="479">
        <f>D13*0.7</f>
        <v/>
      </c>
    </row>
    <row r="14">
      <c r="B14" s="22" t="inlineStr">
        <is>
          <t xml:space="preserve">Real Estate - Residential (Annual  Income) </t>
        </is>
      </c>
      <c r="D14" s="479" t="n">
        <v>0.05</v>
      </c>
      <c r="E14" s="479">
        <f>D14*0.7</f>
        <v/>
      </c>
    </row>
    <row r="15">
      <c r="B15" s="22" t="inlineStr">
        <is>
          <t xml:space="preserve">Real Estate - Commercial  (Annual Income) </t>
        </is>
      </c>
      <c r="D15" s="478">
        <f>5%</f>
        <v/>
      </c>
      <c r="E15" s="479">
        <f>D15*0.75</f>
        <v/>
      </c>
    </row>
    <row r="16">
      <c r="B16" s="22" t="inlineStr">
        <is>
          <t xml:space="preserve">Gold (Annual Income) </t>
        </is>
      </c>
      <c r="D16" s="478" t="n">
        <v>0</v>
      </c>
      <c r="E16" s="479" t="n">
        <v>0</v>
      </c>
    </row>
    <row r="17">
      <c r="B17" t="inlineStr">
        <is>
          <t>Income from Others sources / non financial assets</t>
        </is>
      </c>
      <c r="D17" s="479" t="n">
        <v>0.05</v>
      </c>
      <c r="E17" s="479">
        <f>D17*0.7</f>
        <v/>
      </c>
    </row>
    <row r="18">
      <c r="D18" s="97" t="n"/>
    </row>
    <row r="19">
      <c r="B19" s="5" t="inlineStr">
        <is>
          <t>ROI</t>
        </is>
      </c>
      <c r="C19" s="5" t="n"/>
      <c r="D19" s="98" t="inlineStr">
        <is>
          <t>Pre Tax</t>
        </is>
      </c>
      <c r="E19" s="98" t="inlineStr">
        <is>
          <t>Post Tax</t>
        </is>
      </c>
    </row>
    <row r="20">
      <c r="B20" t="inlineStr">
        <is>
          <t>Own Business/Professsion</t>
        </is>
      </c>
      <c r="D20" s="479" t="n">
        <v>0.25</v>
      </c>
      <c r="E20" s="479">
        <f>D20*(1-0.25-0.05)</f>
        <v/>
      </c>
    </row>
    <row r="21">
      <c r="B21" t="inlineStr">
        <is>
          <t>Equity - / MF Aggressive (Small/Mid Cap)</t>
        </is>
      </c>
      <c r="D21" s="478" t="n">
        <v>0.14</v>
      </c>
      <c r="E21" s="479">
        <f>D21*(1-0.125)</f>
        <v/>
      </c>
    </row>
    <row r="22">
      <c r="B22" s="22" t="inlineStr">
        <is>
          <t>Equity / MF - Hybrid (Large and Mid Cap)</t>
        </is>
      </c>
      <c r="D22" s="478" t="n">
        <v>0.12</v>
      </c>
      <c r="E22" s="479">
        <f>D22*(1-0.125)</f>
        <v/>
      </c>
    </row>
    <row r="23">
      <c r="B23" s="22" t="inlineStr">
        <is>
          <t>Equity / MF - Conservative (Large Cap)</t>
        </is>
      </c>
      <c r="D23" s="479" t="n">
        <v>0.1</v>
      </c>
      <c r="E23" s="479">
        <f>D23*(1-0.125)</f>
        <v/>
      </c>
    </row>
    <row r="24">
      <c r="B24" s="22" t="inlineStr">
        <is>
          <t>Bank FDs/RD</t>
        </is>
      </c>
      <c r="D24" s="478" t="n">
        <v>0.065</v>
      </c>
      <c r="E24" s="479">
        <f>D24*(1-0.3)</f>
        <v/>
      </c>
    </row>
    <row r="25">
      <c r="B25" s="22" t="inlineStr">
        <is>
          <t>Bonds/Debt/Debentures</t>
        </is>
      </c>
      <c r="D25" s="478" t="n">
        <v>0.075</v>
      </c>
      <c r="E25" s="479">
        <f>D25*(1-0.3)</f>
        <v/>
      </c>
    </row>
    <row r="26">
      <c r="B26" s="22" t="inlineStr">
        <is>
          <t>PPF etc</t>
        </is>
      </c>
      <c r="D26" s="478" t="n">
        <v>0.07099999999999999</v>
      </c>
      <c r="E26" s="479">
        <f>D26*(1-0)</f>
        <v/>
      </c>
    </row>
    <row r="27">
      <c r="B27" s="22" t="inlineStr">
        <is>
          <t>EPFcetc</t>
        </is>
      </c>
      <c r="D27" s="478" t="n">
        <v>0.081</v>
      </c>
      <c r="E27" s="479">
        <f>D27*(1-0)</f>
        <v/>
      </c>
    </row>
    <row r="28">
      <c r="B28" s="22" t="inlineStr">
        <is>
          <t>Sukanya/Sr Citizen</t>
        </is>
      </c>
      <c r="D28" s="478" t="n">
        <v>0.081</v>
      </c>
      <c r="E28" s="479">
        <f>D28*(1-0)</f>
        <v/>
      </c>
    </row>
    <row r="29">
      <c r="B29" t="inlineStr">
        <is>
          <t>SGB</t>
        </is>
      </c>
      <c r="D29" s="478">
        <f>2.5%+5%</f>
        <v/>
      </c>
      <c r="E29" s="479">
        <f>5%+2.5%*0.7</f>
        <v/>
      </c>
      <c r="F29" t="inlineStr">
        <is>
          <t>Tax free if held for 8 years</t>
        </is>
      </c>
    </row>
    <row r="30">
      <c r="B30" s="22" t="inlineStr">
        <is>
          <t>ULIP/Endownment Plans</t>
        </is>
      </c>
      <c r="D30" s="480" t="n">
        <v>0.06</v>
      </c>
      <c r="E30" s="479">
        <f>D30</f>
        <v/>
      </c>
    </row>
    <row r="31">
      <c r="B31" s="22" t="inlineStr">
        <is>
          <t>NPS</t>
        </is>
      </c>
      <c r="D31" s="480" t="n">
        <v>0.07000000000000001</v>
      </c>
      <c r="E31" s="479">
        <f>D31</f>
        <v/>
      </c>
    </row>
    <row r="32">
      <c r="B32" t="inlineStr">
        <is>
          <t>Liquid Fund</t>
        </is>
      </c>
      <c r="D32" s="478" t="n">
        <v>0.055</v>
      </c>
      <c r="E32" s="479">
        <f>D32*(1-0.3)</f>
        <v/>
      </c>
    </row>
    <row r="33">
      <c r="B33" s="22" t="inlineStr">
        <is>
          <t>Savings Bank Interest</t>
        </is>
      </c>
      <c r="D33" s="478" t="n">
        <v>0.035</v>
      </c>
      <c r="E33" s="479">
        <f>D33*(1-0.3)</f>
        <v/>
      </c>
    </row>
    <row r="34">
      <c r="B34" s="22" t="inlineStr">
        <is>
          <t>Real Estate - Residential (Appreciation)</t>
        </is>
      </c>
      <c r="D34" s="478" t="n">
        <v>0.08</v>
      </c>
      <c r="E34" s="479">
        <f>D34*(1-0.125)</f>
        <v/>
      </c>
    </row>
    <row r="35">
      <c r="B35" s="22" t="inlineStr">
        <is>
          <t>Real Estate - Commercial (Appreciation)</t>
        </is>
      </c>
      <c r="D35" s="478" t="n">
        <v>0.08</v>
      </c>
      <c r="E35" s="479">
        <f>D35*(1-0.125)</f>
        <v/>
      </c>
    </row>
    <row r="36">
      <c r="B36" s="22" t="inlineStr">
        <is>
          <t>Gold (Appreciation)</t>
        </is>
      </c>
      <c r="D36" s="478" t="n">
        <v>0.08</v>
      </c>
      <c r="E36" s="479">
        <f>D36*(1-0.125)</f>
        <v/>
      </c>
    </row>
    <row r="37">
      <c r="B37" s="22" t="inlineStr">
        <is>
          <t>Crypto</t>
        </is>
      </c>
      <c r="D37" s="478" t="n"/>
      <c r="E37" s="479" t="n"/>
    </row>
    <row r="38">
      <c r="B38" s="22" t="inlineStr">
        <is>
          <t>Others (Pls specifiy)</t>
        </is>
      </c>
      <c r="D38" s="478" t="n"/>
      <c r="E38" s="479" t="n"/>
    </row>
    <row r="39">
      <c r="B39" s="22" t="inlineStr">
        <is>
          <t>Others (Pls specifiy)</t>
        </is>
      </c>
      <c r="D39" s="478" t="n"/>
      <c r="E39" s="479" t="n"/>
    </row>
    <row r="40">
      <c r="B40" s="65" t="inlineStr">
        <is>
          <t>Blended (Equal Weight) ROI</t>
        </is>
      </c>
      <c r="C40" s="65" t="n"/>
      <c r="D40" s="481">
        <f>AVERAGE(D20:D39)</f>
        <v/>
      </c>
      <c r="E40" s="481">
        <f>AVERAGE(E20:E39)</f>
        <v/>
      </c>
    </row>
    <row r="41">
      <c r="D41" s="478" t="n"/>
      <c r="E41" s="479" t="n"/>
    </row>
    <row r="42">
      <c r="B42" s="65" t="inlineStr">
        <is>
          <t>Retirement Planning</t>
        </is>
      </c>
      <c r="D42" s="478" t="n"/>
      <c r="E42" s="479" t="n"/>
    </row>
    <row r="43" ht="14.5" customHeight="1">
      <c r="B43" s="337" t="inlineStr">
        <is>
          <t>Life Expectancy of Mr M</t>
        </is>
      </c>
      <c r="C43" s="337" t="inlineStr">
        <is>
          <t>Input</t>
        </is>
      </c>
      <c r="D43" s="337" t="inlineStr">
        <is>
          <t>Years</t>
        </is>
      </c>
      <c r="E43" s="337" t="n">
        <v>75</v>
      </c>
    </row>
    <row r="44" ht="14.5" customHeight="1">
      <c r="B44" s="337" t="inlineStr">
        <is>
          <t>Life Expectancy of Mrs. M</t>
        </is>
      </c>
      <c r="C44" s="337" t="inlineStr">
        <is>
          <t>Input</t>
        </is>
      </c>
      <c r="D44" s="337" t="inlineStr">
        <is>
          <t>Years</t>
        </is>
      </c>
      <c r="E44" s="337" t="n">
        <v>80</v>
      </c>
    </row>
    <row r="73">
      <c r="Z73" s="153">
        <f>#REF!-#REF!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2:AD80"/>
  <sheetViews>
    <sheetView showGridLines="0" workbookViewId="0">
      <pane xSplit="4" ySplit="4" topLeftCell="M5" activePane="bottomRight" state="frozen"/>
      <selection activeCell="B7" sqref="B7"/>
      <selection pane="topRight" activeCell="B7" sqref="B7"/>
      <selection pane="bottomLeft" activeCell="B7" sqref="B7"/>
      <selection pane="bottomRight" activeCell="S3" sqref="S3:T3"/>
    </sheetView>
  </sheetViews>
  <sheetFormatPr baseColWidth="8" defaultRowHeight="14"/>
  <cols>
    <col width="12.25" bestFit="1" customWidth="1" min="5" max="5"/>
    <col width="11.25" bestFit="1" customWidth="1" min="6" max="7"/>
    <col width="9.75" bestFit="1" customWidth="1" min="8" max="8"/>
    <col width="11.25" bestFit="1" customWidth="1" min="9" max="10"/>
    <col width="9.75" bestFit="1" customWidth="1" min="11" max="11"/>
    <col width="11.25" bestFit="1" customWidth="1" min="12" max="12"/>
    <col width="12.75" customWidth="1" min="13" max="13"/>
    <col width="16.33203125" bestFit="1" customWidth="1" min="16" max="16"/>
    <col width="13.83203125" bestFit="1" customWidth="1" min="17" max="17"/>
    <col width="14.4140625" bestFit="1" customWidth="1" min="18" max="18"/>
    <col width="15.75" customWidth="1" min="19" max="19"/>
    <col width="12.25" bestFit="1" customWidth="1" min="20" max="20"/>
    <col width="11.25" customWidth="1" min="21" max="21"/>
    <col width="16.33203125" bestFit="1" customWidth="1" min="22" max="22"/>
    <col width="14.83203125" bestFit="1" customWidth="1" min="24" max="24"/>
    <col width="12.9140625" bestFit="1" customWidth="1" min="25" max="25"/>
    <col width="13.83203125" bestFit="1" customWidth="1" min="26" max="26"/>
    <col width="14.83203125" bestFit="1" customWidth="1" min="27" max="27"/>
    <col width="9.08203125" customWidth="1" min="28" max="28"/>
    <col width="16.33203125" bestFit="1" customWidth="1" min="29" max="29"/>
    <col width="10.33203125" customWidth="1" min="30" max="30"/>
  </cols>
  <sheetData>
    <row r="2">
      <c r="B2" s="126" t="inlineStr">
        <is>
          <t>Summary of Income &amp; Expenditure</t>
        </is>
      </c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O2" s="126" t="inlineStr">
        <is>
          <t xml:space="preserve">Computing financial assets at the end of each year </t>
        </is>
      </c>
      <c r="P2" s="126" t="n"/>
      <c r="Q2" s="126" t="n"/>
      <c r="R2" s="126" t="n"/>
      <c r="S2" s="126" t="n"/>
      <c r="T2" s="126" t="n"/>
      <c r="U2" s="126" t="n"/>
      <c r="V2" s="126" t="n"/>
      <c r="X2" s="126" t="inlineStr">
        <is>
          <t xml:space="preserve">Computing non - financial assets at the end of each year </t>
        </is>
      </c>
      <c r="Y2" s="126" t="n"/>
      <c r="Z2" s="126" t="n"/>
      <c r="AA2" s="126" t="n"/>
      <c r="AC2" s="126" t="inlineStr">
        <is>
          <t>Networth</t>
        </is>
      </c>
    </row>
    <row r="3">
      <c r="S3" s="155" t="n"/>
    </row>
    <row r="4" ht="55" customFormat="1" customHeight="1" s="127">
      <c r="B4" s="156" t="inlineStr">
        <is>
          <t>Year</t>
        </is>
      </c>
      <c r="C4" s="156" t="inlineStr">
        <is>
          <t>Year</t>
        </is>
      </c>
      <c r="D4" s="156" t="inlineStr">
        <is>
          <t>Age  of Primary Client</t>
        </is>
      </c>
      <c r="E4" s="156" t="inlineStr">
        <is>
          <t>Income form Employment</t>
        </is>
      </c>
      <c r="F4" s="156" t="inlineStr">
        <is>
          <t>Income from  business/profession</t>
        </is>
      </c>
      <c r="G4" s="156" t="inlineStr">
        <is>
          <t>Rental Income</t>
        </is>
      </c>
      <c r="H4" s="156" t="inlineStr">
        <is>
          <t>Income from Others sources / non financial assets</t>
        </is>
      </c>
      <c r="I4" s="156" t="inlineStr">
        <is>
          <t>Total Income</t>
        </is>
      </c>
      <c r="J4" s="156" t="inlineStr">
        <is>
          <t>Regular Expenses (Except Loans and Major One Time)</t>
        </is>
      </c>
      <c r="K4" s="156" t="inlineStr">
        <is>
          <t>Loan Repayments</t>
        </is>
      </c>
      <c r="L4" s="156" t="inlineStr">
        <is>
          <t>Total Outflow</t>
        </is>
      </c>
      <c r="M4" s="156" t="inlineStr">
        <is>
          <t>Surplus</t>
        </is>
      </c>
      <c r="N4" s="376" t="inlineStr">
        <is>
          <t>x</t>
        </is>
      </c>
      <c r="O4" s="156" t="inlineStr">
        <is>
          <t>Year</t>
        </is>
      </c>
      <c r="P4" s="156" t="inlineStr">
        <is>
          <t>Opening Balance of Finanical Assets</t>
        </is>
      </c>
      <c r="Q4" s="156" t="inlineStr">
        <is>
          <t xml:space="preserve">Net Annual Cash Savings (Family) </t>
        </is>
      </c>
      <c r="R4" s="156" t="inlineStr">
        <is>
          <t>Major Withdrawls</t>
        </is>
      </c>
      <c r="S4" s="156" t="inlineStr">
        <is>
          <t>Income from investments</t>
        </is>
      </c>
      <c r="T4" s="381" t="inlineStr">
        <is>
          <t xml:space="preserve">Lumpsum Further deposit / (Withdrawl) </t>
        </is>
      </c>
      <c r="U4" s="156" t="inlineStr">
        <is>
          <t>Remarks</t>
        </is>
      </c>
      <c r="V4" s="156" t="inlineStr">
        <is>
          <t>Closing Balance of Financial Assets</t>
        </is>
      </c>
      <c r="W4" s="376" t="inlineStr">
        <is>
          <t>x</t>
        </is>
      </c>
      <c r="X4" s="156" t="inlineStr">
        <is>
          <t xml:space="preserve">Opening Balance of Non Finanical Assets (Mostly Real Estate / Gold) </t>
        </is>
      </c>
      <c r="Y4" s="156" t="inlineStr">
        <is>
          <t>Addition / (Disposal) of Fixed Assets</t>
        </is>
      </c>
      <c r="Z4" s="156" t="inlineStr">
        <is>
          <t>Appreciation/(Depreciation)</t>
        </is>
      </c>
      <c r="AA4" s="156" t="inlineStr">
        <is>
          <t>Closing Balance of Non Finanical Assets</t>
        </is>
      </c>
      <c r="AB4" s="376" t="inlineStr">
        <is>
          <t>x</t>
        </is>
      </c>
      <c r="AC4" s="360" t="inlineStr">
        <is>
          <t>Total Networth</t>
        </is>
      </c>
      <c r="AD4" s="360" t="inlineStr">
        <is>
          <t>Total Networth INR Crore</t>
        </is>
      </c>
    </row>
    <row r="5">
      <c r="B5" s="365" t="inlineStr">
        <is>
          <t>Increase YoY (Net of Taxes) %</t>
        </is>
      </c>
      <c r="C5" s="365" t="n"/>
      <c r="D5" s="365" t="n"/>
      <c r="E5" s="482">
        <f>'Assumptions &amp; Computation'!E12</f>
        <v/>
      </c>
      <c r="F5" s="482">
        <f>'Assumptions &amp; Computation'!E13</f>
        <v/>
      </c>
      <c r="G5" s="482">
        <f>'Assumptions &amp; Computation'!E14</f>
        <v/>
      </c>
      <c r="H5" s="482">
        <f>'Assumptions &amp; Computation'!E17</f>
        <v/>
      </c>
      <c r="I5" s="367" t="n"/>
      <c r="J5" s="482">
        <f>'Assumptions &amp; Computation'!D3</f>
        <v/>
      </c>
      <c r="K5" s="482" t="inlineStr">
        <is>
          <t>Actual</t>
        </is>
      </c>
      <c r="L5" s="367" t="n"/>
      <c r="M5" s="365" t="n"/>
      <c r="O5" s="365" t="n"/>
      <c r="P5" s="367" t="inlineStr">
        <is>
          <t xml:space="preserve">Real Estate (Not considered  for earnings or increase in valuation) </t>
        </is>
      </c>
      <c r="Q5" s="365" t="n"/>
      <c r="R5" s="482" t="n"/>
      <c r="S5" s="483">
        <f>'11. Inc Exp,Networth,Rec Invest'!K42</f>
        <v/>
      </c>
      <c r="T5" s="365" t="n"/>
      <c r="U5" s="365" t="n"/>
      <c r="V5" s="365" t="n"/>
      <c r="W5" s="5" t="n"/>
      <c r="X5" s="365" t="n"/>
      <c r="Y5" s="351" t="n"/>
      <c r="Z5" s="484">
        <f>'11. Inc Exp,Networth,Rec Invest'!K47</f>
        <v/>
      </c>
      <c r="AA5" s="357" t="n"/>
      <c r="AC5" s="351" t="n"/>
      <c r="AD5" s="51" t="n"/>
    </row>
    <row r="6">
      <c r="B6" s="32" t="inlineStr">
        <is>
          <t>Y0</t>
        </is>
      </c>
      <c r="C6" s="51" t="n">
        <v>2026</v>
      </c>
      <c r="D6" s="257">
        <f>'1_Personal_Details'!D5</f>
        <v/>
      </c>
      <c r="E6" s="158">
        <f>'2_Income'!I24*12</f>
        <v/>
      </c>
      <c r="F6" s="158">
        <f>'2_Income'!I25*12</f>
        <v/>
      </c>
      <c r="G6" s="158">
        <f>'2_Income'!I26*12</f>
        <v/>
      </c>
      <c r="H6" s="158">
        <f>SUM('2_Income'!I27:I28)</f>
        <v/>
      </c>
      <c r="I6" s="377">
        <f>SUM(E6:H6)</f>
        <v/>
      </c>
      <c r="J6" s="158">
        <f>('3_Expenses '!I26-SUM('3_Expenses '!I23:I25))*12</f>
        <v/>
      </c>
      <c r="K6" s="158">
        <f>SUM('3_Expenses '!I23:I25)*12</f>
        <v/>
      </c>
      <c r="L6" s="377">
        <f>SUM(J6:K6)</f>
        <v/>
      </c>
      <c r="M6" s="377">
        <f>I6-L6</f>
        <v/>
      </c>
      <c r="O6" s="51">
        <f>C6</f>
        <v/>
      </c>
      <c r="P6" s="350">
        <f>'11. Inc Exp,Networth,Rec Invest'!I42</f>
        <v/>
      </c>
      <c r="Q6" s="158">
        <f>M6</f>
        <v/>
      </c>
      <c r="R6" s="158">
        <f>-SUMIF('10_Financial_Goals'!$C$3:$C$12,'YoY Cash Flow'!C6,'10_Financial_Goals'!$H$3:$H$9)</f>
        <v/>
      </c>
      <c r="S6" s="158">
        <f>(P6+Q6/2-R6)*(S$5)</f>
        <v/>
      </c>
      <c r="T6" s="158" t="n"/>
      <c r="U6" s="158" t="n"/>
      <c r="V6" s="377">
        <f>P6+Q6+R6+S6+T6</f>
        <v/>
      </c>
      <c r="W6" s="362" t="n"/>
      <c r="X6" s="350">
        <f>'11. Inc Exp,Networth,Rec Invest'!I47</f>
        <v/>
      </c>
      <c r="Y6" s="158" t="n"/>
      <c r="Z6" s="158">
        <f>X6*Z$5</f>
        <v/>
      </c>
      <c r="AA6" s="377">
        <f>SUM(X6:Z6)</f>
        <v/>
      </c>
      <c r="AB6" s="362" t="n"/>
      <c r="AC6" s="377">
        <f>SUM(V6,AA6)</f>
        <v/>
      </c>
      <c r="AD6" s="485">
        <f>AC6/10^7</f>
        <v/>
      </c>
    </row>
    <row r="7">
      <c r="B7" s="32" t="inlineStr">
        <is>
          <t>Y1</t>
        </is>
      </c>
      <c r="C7" s="51">
        <f>C6+1</f>
        <v/>
      </c>
      <c r="D7" s="257">
        <f>D6+1</f>
        <v/>
      </c>
      <c r="E7" s="158">
        <f>E6*(1+E$5)</f>
        <v/>
      </c>
      <c r="F7" s="158">
        <f>F6*(1+F$5)</f>
        <v/>
      </c>
      <c r="G7" s="158">
        <f>G6*(1+G$5)</f>
        <v/>
      </c>
      <c r="H7" s="158" t="n"/>
      <c r="I7" s="377">
        <f>SUM(E7:H7)</f>
        <v/>
      </c>
      <c r="J7" s="158">
        <f>J6*(1+J$5)</f>
        <v/>
      </c>
      <c r="K7" s="158">
        <f>K6</f>
        <v/>
      </c>
      <c r="L7" s="377">
        <f>SUM(J7:K7)</f>
        <v/>
      </c>
      <c r="M7" s="377">
        <f>I7-L7</f>
        <v/>
      </c>
      <c r="O7" s="51">
        <f>O6+1</f>
        <v/>
      </c>
      <c r="P7" s="350">
        <f>V6</f>
        <v/>
      </c>
      <c r="Q7" s="158">
        <f>M7</f>
        <v/>
      </c>
      <c r="R7" s="158">
        <f>-SUMIF('10_Financial_Goals'!$C$3:$C$12,'YoY Cash Flow'!C7,'10_Financial_Goals'!$H$3:$H$9)</f>
        <v/>
      </c>
      <c r="S7" s="158">
        <f>(P7+Q7/2-R7)*(S$5)</f>
        <v/>
      </c>
      <c r="T7" s="158" t="n"/>
      <c r="U7" s="158" t="n"/>
      <c r="V7" s="377">
        <f>P7+Q7+R7+S7+T7</f>
        <v/>
      </c>
      <c r="W7" s="362" t="n"/>
      <c r="X7" s="350">
        <f>AA6</f>
        <v/>
      </c>
      <c r="Y7" s="158" t="n"/>
      <c r="Z7" s="158">
        <f>X7*Z$5</f>
        <v/>
      </c>
      <c r="AA7" s="377">
        <f>SUM(X7:Z7)</f>
        <v/>
      </c>
      <c r="AB7" s="362" t="n"/>
      <c r="AC7" s="377">
        <f>SUM(V7,AA7)</f>
        <v/>
      </c>
      <c r="AD7" s="485">
        <f>AC7/10^7</f>
        <v/>
      </c>
    </row>
    <row r="8">
      <c r="B8" s="32" t="inlineStr">
        <is>
          <t>Y2</t>
        </is>
      </c>
      <c r="C8" s="51">
        <f>C7+1</f>
        <v/>
      </c>
      <c r="D8" s="257">
        <f>D7+1</f>
        <v/>
      </c>
      <c r="E8" s="158">
        <f>E7*(1+E$5)</f>
        <v/>
      </c>
      <c r="F8" s="158">
        <f>F7*(1+F$5)</f>
        <v/>
      </c>
      <c r="G8" s="158">
        <f>G7*(1+G$5)</f>
        <v/>
      </c>
      <c r="H8" s="158" t="n"/>
      <c r="I8" s="377">
        <f>SUM(E8:H8)</f>
        <v/>
      </c>
      <c r="J8" s="158">
        <f>J7*(1+J$5)</f>
        <v/>
      </c>
      <c r="K8" s="158">
        <f>K7</f>
        <v/>
      </c>
      <c r="L8" s="377">
        <f>SUM(J8:K8)</f>
        <v/>
      </c>
      <c r="M8" s="377">
        <f>I8-L8</f>
        <v/>
      </c>
      <c r="O8" s="51">
        <f>O7+1</f>
        <v/>
      </c>
      <c r="P8" s="350">
        <f>V7</f>
        <v/>
      </c>
      <c r="Q8" s="158">
        <f>M8</f>
        <v/>
      </c>
      <c r="R8" s="158">
        <f>-SUMIF('10_Financial_Goals'!$C$3:$C$12,'YoY Cash Flow'!C8,'10_Financial_Goals'!$H$3:$H$9)</f>
        <v/>
      </c>
      <c r="S8" s="158">
        <f>(P8+Q8/2-R8)*(S$5)</f>
        <v/>
      </c>
      <c r="T8" s="158" t="n"/>
      <c r="U8" s="158" t="n"/>
      <c r="V8" s="377">
        <f>P8+Q8+R8+S8+T8</f>
        <v/>
      </c>
      <c r="W8" s="362" t="n"/>
      <c r="X8" s="350">
        <f>AA7</f>
        <v/>
      </c>
      <c r="Y8" s="158" t="n"/>
      <c r="Z8" s="158">
        <f>X8*Z$5</f>
        <v/>
      </c>
      <c r="AA8" s="377">
        <f>SUM(X8:Z8)</f>
        <v/>
      </c>
      <c r="AB8" s="362" t="n"/>
      <c r="AC8" s="377">
        <f>SUM(V8,AA8)</f>
        <v/>
      </c>
      <c r="AD8" s="485">
        <f>AC8/10^7</f>
        <v/>
      </c>
    </row>
    <row r="9">
      <c r="B9" s="32" t="inlineStr">
        <is>
          <t>Y3</t>
        </is>
      </c>
      <c r="C9" s="51">
        <f>C8+1</f>
        <v/>
      </c>
      <c r="D9" s="257">
        <f>D8+1</f>
        <v/>
      </c>
      <c r="E9" s="158">
        <f>E8*(1+E$5)</f>
        <v/>
      </c>
      <c r="F9" s="158">
        <f>F8*(1+F$5)</f>
        <v/>
      </c>
      <c r="G9" s="158">
        <f>G8*(1+G$5)</f>
        <v/>
      </c>
      <c r="H9" s="158" t="n"/>
      <c r="I9" s="377">
        <f>SUM(E9:H9)</f>
        <v/>
      </c>
      <c r="J9" s="158">
        <f>J8*(1+J$5)</f>
        <v/>
      </c>
      <c r="K9" s="158">
        <f>K8</f>
        <v/>
      </c>
      <c r="L9" s="377">
        <f>SUM(J9:K9)</f>
        <v/>
      </c>
      <c r="M9" s="377">
        <f>I9-L9</f>
        <v/>
      </c>
      <c r="O9" s="51">
        <f>O8+1</f>
        <v/>
      </c>
      <c r="P9" s="350">
        <f>V8</f>
        <v/>
      </c>
      <c r="Q9" s="158">
        <f>M9</f>
        <v/>
      </c>
      <c r="R9" s="158">
        <f>-SUMIF('10_Financial_Goals'!$C$3:$C$12,'YoY Cash Flow'!C9,'10_Financial_Goals'!$H$3:$H$9)</f>
        <v/>
      </c>
      <c r="S9" s="158">
        <f>(P9+Q9/2-R9)*(S$5)</f>
        <v/>
      </c>
      <c r="T9" s="158" t="n">
        <v>200000</v>
      </c>
      <c r="U9" s="453" t="inlineStr">
        <is>
          <t>Bonus Expected</t>
        </is>
      </c>
      <c r="V9" s="377">
        <f>P9+Q9+R9+S9+T9</f>
        <v/>
      </c>
      <c r="W9" s="362" t="n"/>
      <c r="X9" s="350">
        <f>AA8</f>
        <v/>
      </c>
      <c r="Y9" s="158" t="n"/>
      <c r="Z9" s="158">
        <f>X9*Z$5</f>
        <v/>
      </c>
      <c r="AA9" s="377">
        <f>SUM(X9:Z9)</f>
        <v/>
      </c>
      <c r="AB9" s="362" t="n"/>
      <c r="AC9" s="377">
        <f>SUM(V9,AA9)</f>
        <v/>
      </c>
      <c r="AD9" s="485">
        <f>AC9/10^7</f>
        <v/>
      </c>
    </row>
    <row r="10">
      <c r="B10" s="32" t="inlineStr">
        <is>
          <t>Y4</t>
        </is>
      </c>
      <c r="C10" s="51">
        <f>C9+1</f>
        <v/>
      </c>
      <c r="D10" s="257">
        <f>D9+1</f>
        <v/>
      </c>
      <c r="E10" s="158">
        <f>E9*(1+E$5)</f>
        <v/>
      </c>
      <c r="F10" s="158">
        <f>F9*(1+F$5)</f>
        <v/>
      </c>
      <c r="G10" s="158">
        <f>G9*(1+G$5)</f>
        <v/>
      </c>
      <c r="H10" s="158" t="n"/>
      <c r="I10" s="377">
        <f>SUM(E10:H10)</f>
        <v/>
      </c>
      <c r="J10" s="158">
        <f>J9*(1+J$5)</f>
        <v/>
      </c>
      <c r="K10" s="158">
        <f>K9</f>
        <v/>
      </c>
      <c r="L10" s="377">
        <f>SUM(J10:K10)</f>
        <v/>
      </c>
      <c r="M10" s="377">
        <f>I10-L10</f>
        <v/>
      </c>
      <c r="O10" s="51">
        <f>O9+1</f>
        <v/>
      </c>
      <c r="P10" s="350">
        <f>V9</f>
        <v/>
      </c>
      <c r="Q10" s="158">
        <f>M10</f>
        <v/>
      </c>
      <c r="R10" s="158">
        <f>-SUMIF('10_Financial_Goals'!$C$3:$C$12,'YoY Cash Flow'!C10,'10_Financial_Goals'!$H$3:$H$9)</f>
        <v/>
      </c>
      <c r="S10" s="158">
        <f>(P10+Q10/2-R10)*(S$5)</f>
        <v/>
      </c>
      <c r="T10" s="158" t="n"/>
      <c r="U10" s="158" t="n"/>
      <c r="V10" s="377">
        <f>P10+Q10+R10+S10+T10</f>
        <v/>
      </c>
      <c r="W10" s="362" t="n"/>
      <c r="X10" s="350">
        <f>AA9</f>
        <v/>
      </c>
      <c r="Y10" s="158" t="n"/>
      <c r="Z10" s="158">
        <f>X10*Z$5</f>
        <v/>
      </c>
      <c r="AA10" s="377">
        <f>SUM(X10:Z10)</f>
        <v/>
      </c>
      <c r="AB10" s="362" t="n"/>
      <c r="AC10" s="377">
        <f>SUM(V10,AA10)</f>
        <v/>
      </c>
      <c r="AD10" s="485">
        <f>AC10/10^7</f>
        <v/>
      </c>
    </row>
    <row r="11">
      <c r="B11" s="32" t="inlineStr">
        <is>
          <t>Y5</t>
        </is>
      </c>
      <c r="C11" s="51">
        <f>C10+1</f>
        <v/>
      </c>
      <c r="D11" s="257">
        <f>D10+1</f>
        <v/>
      </c>
      <c r="E11" s="158">
        <f>E10*(1+E$5)</f>
        <v/>
      </c>
      <c r="F11" s="158">
        <f>F10*(1+F$5)</f>
        <v/>
      </c>
      <c r="G11" s="158">
        <f>G10*(1+G$5)</f>
        <v/>
      </c>
      <c r="H11" s="158" t="n"/>
      <c r="I11" s="377">
        <f>SUM(E11:H11)</f>
        <v/>
      </c>
      <c r="J11" s="158">
        <f>J10*(1+J$5)</f>
        <v/>
      </c>
      <c r="K11" s="158">
        <f>K10</f>
        <v/>
      </c>
      <c r="L11" s="377">
        <f>SUM(J11:K11)</f>
        <v/>
      </c>
      <c r="M11" s="377">
        <f>I11-L11</f>
        <v/>
      </c>
      <c r="O11" s="51">
        <f>O10+1</f>
        <v/>
      </c>
      <c r="P11" s="350">
        <f>V10</f>
        <v/>
      </c>
      <c r="Q11" s="158">
        <f>M11</f>
        <v/>
      </c>
      <c r="R11" s="158">
        <f>-SUMIF('10_Financial_Goals'!$C$3:$C$12,'YoY Cash Flow'!C11,'10_Financial_Goals'!$H$3:$H$9)</f>
        <v/>
      </c>
      <c r="S11" s="158">
        <f>(P11+Q11/2-R11)*(S$5)</f>
        <v/>
      </c>
      <c r="T11" s="158" t="n"/>
      <c r="U11" s="158" t="n"/>
      <c r="V11" s="377">
        <f>P11+Q11+R11+S11+T11</f>
        <v/>
      </c>
      <c r="W11" s="362" t="n"/>
      <c r="X11" s="350">
        <f>AA10</f>
        <v/>
      </c>
      <c r="Y11" s="158" t="n"/>
      <c r="Z11" s="158">
        <f>X11*Z$5</f>
        <v/>
      </c>
      <c r="AA11" s="377">
        <f>SUM(X11:Z11)</f>
        <v/>
      </c>
      <c r="AB11" s="362" t="n"/>
      <c r="AC11" s="377">
        <f>SUM(V11,AA11)</f>
        <v/>
      </c>
      <c r="AD11" s="485">
        <f>AC11/10^7</f>
        <v/>
      </c>
    </row>
    <row r="12">
      <c r="B12" s="32" t="inlineStr">
        <is>
          <t>Y6</t>
        </is>
      </c>
      <c r="C12" s="51">
        <f>C11+1</f>
        <v/>
      </c>
      <c r="D12" s="257">
        <f>D11+1</f>
        <v/>
      </c>
      <c r="E12" s="158">
        <f>E11*(1+E$5)</f>
        <v/>
      </c>
      <c r="F12" s="158">
        <f>F11*(1+F$5)</f>
        <v/>
      </c>
      <c r="G12" s="158">
        <f>G11*(1+G$5)</f>
        <v/>
      </c>
      <c r="H12" s="158" t="n"/>
      <c r="I12" s="377">
        <f>SUM(E12:H12)</f>
        <v/>
      </c>
      <c r="J12" s="158">
        <f>J11*(1+J$5)</f>
        <v/>
      </c>
      <c r="K12" s="158">
        <f>K11</f>
        <v/>
      </c>
      <c r="L12" s="377">
        <f>SUM(J12:K12)</f>
        <v/>
      </c>
      <c r="M12" s="377">
        <f>I12-L12</f>
        <v/>
      </c>
      <c r="O12" s="51">
        <f>O11+1</f>
        <v/>
      </c>
      <c r="P12" s="350">
        <f>V11</f>
        <v/>
      </c>
      <c r="Q12" s="158">
        <f>M12</f>
        <v/>
      </c>
      <c r="R12" s="158">
        <f>-SUMIF('10_Financial_Goals'!$C$3:$C$12,'YoY Cash Flow'!C12,'10_Financial_Goals'!$H$3:$H$9)</f>
        <v/>
      </c>
      <c r="S12" s="158">
        <f>(P12+Q12/2-R12)*(S$5)</f>
        <v/>
      </c>
      <c r="T12" s="158" t="n"/>
      <c r="U12" s="158" t="n"/>
      <c r="V12" s="377">
        <f>P12+Q12+R12+S12+T12</f>
        <v/>
      </c>
      <c r="W12" s="362" t="n"/>
      <c r="X12" s="350">
        <f>AA11</f>
        <v/>
      </c>
      <c r="Y12" s="158" t="n"/>
      <c r="Z12" s="158">
        <f>X12*Z$5</f>
        <v/>
      </c>
      <c r="AA12" s="377">
        <f>SUM(X12:Z12)</f>
        <v/>
      </c>
      <c r="AB12" s="362" t="n"/>
      <c r="AC12" s="377">
        <f>SUM(V12,AA12)</f>
        <v/>
      </c>
      <c r="AD12" s="485">
        <f>AC12/10^7</f>
        <v/>
      </c>
    </row>
    <row r="13">
      <c r="B13" s="32" t="inlineStr">
        <is>
          <t>Y7</t>
        </is>
      </c>
      <c r="C13" s="51">
        <f>C12+1</f>
        <v/>
      </c>
      <c r="D13" s="257">
        <f>D12+1</f>
        <v/>
      </c>
      <c r="E13" s="158">
        <f>E12*(1+E$5)</f>
        <v/>
      </c>
      <c r="F13" s="158">
        <f>F12*(1+F$5)</f>
        <v/>
      </c>
      <c r="G13" s="158">
        <f>G12*(1+G$5)</f>
        <v/>
      </c>
      <c r="H13" s="158" t="n"/>
      <c r="I13" s="377">
        <f>SUM(E13:H13)</f>
        <v/>
      </c>
      <c r="J13" s="158">
        <f>J12*(1+J$5)</f>
        <v/>
      </c>
      <c r="K13" s="158">
        <f>K12</f>
        <v/>
      </c>
      <c r="L13" s="377">
        <f>SUM(J13:K13)</f>
        <v/>
      </c>
      <c r="M13" s="377">
        <f>I13-L13</f>
        <v/>
      </c>
      <c r="O13" s="51">
        <f>O12+1</f>
        <v/>
      </c>
      <c r="P13" s="350">
        <f>V12</f>
        <v/>
      </c>
      <c r="Q13" s="158">
        <f>M13</f>
        <v/>
      </c>
      <c r="R13" s="158">
        <f>-SUMIF('10_Financial_Goals'!$C$3:$C$12,'YoY Cash Flow'!C13,'10_Financial_Goals'!$H$3:$H$9)</f>
        <v/>
      </c>
      <c r="S13" s="158">
        <f>(P13+Q13/2-R13)*(S$5)</f>
        <v/>
      </c>
      <c r="T13" s="158" t="n"/>
      <c r="U13" s="158" t="n"/>
      <c r="V13" s="377">
        <f>P13+Q13+R13+S13+T13</f>
        <v/>
      </c>
      <c r="W13" s="362" t="n"/>
      <c r="X13" s="350">
        <f>AA12</f>
        <v/>
      </c>
      <c r="Y13" s="158" t="n"/>
      <c r="Z13" s="158">
        <f>X13*Z$5</f>
        <v/>
      </c>
      <c r="AA13" s="377">
        <f>SUM(X13:Z13)</f>
        <v/>
      </c>
      <c r="AB13" s="362" t="n"/>
      <c r="AC13" s="377">
        <f>SUM(V13,AA13)</f>
        <v/>
      </c>
      <c r="AD13" s="485">
        <f>AC13/10^7</f>
        <v/>
      </c>
    </row>
    <row r="14">
      <c r="B14" s="32" t="inlineStr">
        <is>
          <t>Y8</t>
        </is>
      </c>
      <c r="C14" s="51">
        <f>C13+1</f>
        <v/>
      </c>
      <c r="D14" s="257">
        <f>D13+1</f>
        <v/>
      </c>
      <c r="E14" s="158">
        <f>E13*(1+E$5)</f>
        <v/>
      </c>
      <c r="F14" s="158">
        <f>F13*(1+F$5)</f>
        <v/>
      </c>
      <c r="G14" s="158">
        <f>G13*(1+G$5)</f>
        <v/>
      </c>
      <c r="H14" s="158" t="n"/>
      <c r="I14" s="377">
        <f>SUM(E14:H14)</f>
        <v/>
      </c>
      <c r="J14" s="158">
        <f>J13*(1+J$5)</f>
        <v/>
      </c>
      <c r="K14" s="158">
        <f>K13</f>
        <v/>
      </c>
      <c r="L14" s="377">
        <f>SUM(J14:K14)</f>
        <v/>
      </c>
      <c r="M14" s="377">
        <f>I14-L14</f>
        <v/>
      </c>
      <c r="O14" s="51">
        <f>O13+1</f>
        <v/>
      </c>
      <c r="P14" s="350">
        <f>V13</f>
        <v/>
      </c>
      <c r="Q14" s="158">
        <f>M14</f>
        <v/>
      </c>
      <c r="R14" s="158">
        <f>-SUMIF('10_Financial_Goals'!$C$3:$C$12,'YoY Cash Flow'!C14,'10_Financial_Goals'!$H$3:$H$9)</f>
        <v/>
      </c>
      <c r="S14" s="158">
        <f>(P14+Q14/2-R14)*(S$5)</f>
        <v/>
      </c>
      <c r="T14" s="158" t="n"/>
      <c r="U14" s="158" t="n"/>
      <c r="V14" s="377">
        <f>P14+Q14+R14+S14+T14</f>
        <v/>
      </c>
      <c r="W14" s="362" t="n"/>
      <c r="X14" s="350">
        <f>AA13</f>
        <v/>
      </c>
      <c r="Y14" s="158" t="n"/>
      <c r="Z14" s="158">
        <f>X14*Z$5</f>
        <v/>
      </c>
      <c r="AA14" s="377">
        <f>SUM(X14:Z14)</f>
        <v/>
      </c>
      <c r="AB14" s="362" t="n"/>
      <c r="AC14" s="377">
        <f>SUM(V14,AA14)</f>
        <v/>
      </c>
      <c r="AD14" s="485">
        <f>AC14/10^7</f>
        <v/>
      </c>
    </row>
    <row r="15">
      <c r="B15" s="32" t="inlineStr">
        <is>
          <t>Y9</t>
        </is>
      </c>
      <c r="C15" s="51">
        <f>C14+1</f>
        <v/>
      </c>
      <c r="D15" s="257">
        <f>D14+1</f>
        <v/>
      </c>
      <c r="E15" s="158">
        <f>E14*(1+E$5)</f>
        <v/>
      </c>
      <c r="F15" s="158">
        <f>F14*(1+F$5)</f>
        <v/>
      </c>
      <c r="G15" s="158">
        <f>G14*(1+G$5)</f>
        <v/>
      </c>
      <c r="H15" s="158" t="n"/>
      <c r="I15" s="377">
        <f>SUM(E15:H15)</f>
        <v/>
      </c>
      <c r="J15" s="158">
        <f>J14*(1+J$5)</f>
        <v/>
      </c>
      <c r="K15" s="158">
        <f>K14</f>
        <v/>
      </c>
      <c r="L15" s="377">
        <f>SUM(J15:K15)</f>
        <v/>
      </c>
      <c r="M15" s="377">
        <f>I15-L15</f>
        <v/>
      </c>
      <c r="O15" s="51">
        <f>O14+1</f>
        <v/>
      </c>
      <c r="P15" s="350">
        <f>V14</f>
        <v/>
      </c>
      <c r="Q15" s="158">
        <f>M15</f>
        <v/>
      </c>
      <c r="R15" s="158">
        <f>-SUMIF('10_Financial_Goals'!$C$3:$C$12,'YoY Cash Flow'!C15,'10_Financial_Goals'!$H$3:$H$9)</f>
        <v/>
      </c>
      <c r="S15" s="158">
        <f>(P15+Q15/2-R15)*(S$5)</f>
        <v/>
      </c>
      <c r="T15" s="158" t="n"/>
      <c r="U15" s="158" t="n"/>
      <c r="V15" s="377">
        <f>P15+Q15+R15+S15+T15</f>
        <v/>
      </c>
      <c r="W15" s="362" t="n"/>
      <c r="X15" s="350">
        <f>AA14</f>
        <v/>
      </c>
      <c r="Y15" s="158" t="n"/>
      <c r="Z15" s="158">
        <f>X15*Z$5</f>
        <v/>
      </c>
      <c r="AA15" s="377">
        <f>SUM(X15:Z15)</f>
        <v/>
      </c>
      <c r="AB15" s="362" t="n"/>
      <c r="AC15" s="377">
        <f>SUM(V15,AA15)</f>
        <v/>
      </c>
      <c r="AD15" s="485">
        <f>AC15/10^7</f>
        <v/>
      </c>
    </row>
    <row r="16">
      <c r="B16" s="32" t="inlineStr">
        <is>
          <t>Y10</t>
        </is>
      </c>
      <c r="C16" s="51">
        <f>C15+1</f>
        <v/>
      </c>
      <c r="D16" s="257">
        <f>D15+1</f>
        <v/>
      </c>
      <c r="E16" s="158">
        <f>E15*(1+E$5)</f>
        <v/>
      </c>
      <c r="F16" s="158">
        <f>F15*(1+F$5)</f>
        <v/>
      </c>
      <c r="G16" s="158">
        <f>G15*(1+G$5)</f>
        <v/>
      </c>
      <c r="H16" s="158" t="n"/>
      <c r="I16" s="377">
        <f>SUM(E16:H16)</f>
        <v/>
      </c>
      <c r="J16" s="158">
        <f>J15*(1+J$5)</f>
        <v/>
      </c>
      <c r="K16" s="158" t="n"/>
      <c r="L16" s="377">
        <f>SUM(J16:K16)</f>
        <v/>
      </c>
      <c r="M16" s="377">
        <f>I16-L16</f>
        <v/>
      </c>
      <c r="O16" s="51">
        <f>O15+1</f>
        <v/>
      </c>
      <c r="P16" s="350">
        <f>V15</f>
        <v/>
      </c>
      <c r="Q16" s="158">
        <f>M16</f>
        <v/>
      </c>
      <c r="R16" s="158">
        <f>-SUMIF('10_Financial_Goals'!$C$3:$C$12,'YoY Cash Flow'!C16,'10_Financial_Goals'!$H$3:$H$9)</f>
        <v/>
      </c>
      <c r="S16" s="158">
        <f>(P16+Q16/2-R16)*(S$5)</f>
        <v/>
      </c>
      <c r="T16" s="158" t="n"/>
      <c r="U16" s="158" t="n"/>
      <c r="V16" s="377">
        <f>P16+Q16+R16+S16+T16</f>
        <v/>
      </c>
      <c r="W16" s="362" t="n"/>
      <c r="X16" s="350">
        <f>AA15</f>
        <v/>
      </c>
      <c r="Y16" s="158" t="n"/>
      <c r="Z16" s="158">
        <f>X16*Z$5</f>
        <v/>
      </c>
      <c r="AA16" s="377">
        <f>SUM(X16:Z16)</f>
        <v/>
      </c>
      <c r="AB16" s="362" t="n"/>
      <c r="AC16" s="377">
        <f>SUM(V16,AA16)</f>
        <v/>
      </c>
      <c r="AD16" s="485">
        <f>AC16/10^7</f>
        <v/>
      </c>
    </row>
    <row r="17">
      <c r="B17" s="32" t="inlineStr">
        <is>
          <t>Y11</t>
        </is>
      </c>
      <c r="C17" s="51">
        <f>C16+1</f>
        <v/>
      </c>
      <c r="D17" s="257">
        <f>D16+1</f>
        <v/>
      </c>
      <c r="E17" s="158">
        <f>E16*(1+E$5)</f>
        <v/>
      </c>
      <c r="F17" s="158">
        <f>F16*(1+F$5)</f>
        <v/>
      </c>
      <c r="G17" s="158">
        <f>G16*(1+G$5)</f>
        <v/>
      </c>
      <c r="H17" s="158" t="n"/>
      <c r="I17" s="377">
        <f>SUM(E17:H17)</f>
        <v/>
      </c>
      <c r="J17" s="158">
        <f>J16*(1+J$5)</f>
        <v/>
      </c>
      <c r="K17" s="158" t="n"/>
      <c r="L17" s="377">
        <f>SUM(J17:K17)</f>
        <v/>
      </c>
      <c r="M17" s="377">
        <f>I17-L17</f>
        <v/>
      </c>
      <c r="O17" s="51">
        <f>O16+1</f>
        <v/>
      </c>
      <c r="P17" s="350">
        <f>V16</f>
        <v/>
      </c>
      <c r="Q17" s="158">
        <f>M17</f>
        <v/>
      </c>
      <c r="R17" s="158">
        <f>-SUMIF('10_Financial_Goals'!$C$3:$C$12,'YoY Cash Flow'!C17,'10_Financial_Goals'!$H$3:$H$9)</f>
        <v/>
      </c>
      <c r="S17" s="158">
        <f>(P17+Q17/2-R17)*(S$5)</f>
        <v/>
      </c>
      <c r="T17" s="158" t="n">
        <v>-500000</v>
      </c>
      <c r="U17" s="453" t="inlineStr">
        <is>
          <t>Knee Surgery planned for parents who don’t have insurance</t>
        </is>
      </c>
      <c r="V17" s="377">
        <f>P17+Q17+R17+S17+T17</f>
        <v/>
      </c>
      <c r="W17" s="362" t="n"/>
      <c r="X17" s="350">
        <f>AA16</f>
        <v/>
      </c>
      <c r="Y17" s="158" t="n"/>
      <c r="Z17" s="158">
        <f>X17*Z$5</f>
        <v/>
      </c>
      <c r="AA17" s="377">
        <f>SUM(X17:Z17)</f>
        <v/>
      </c>
      <c r="AB17" s="362" t="n"/>
      <c r="AC17" s="377">
        <f>SUM(V17,AA17)</f>
        <v/>
      </c>
      <c r="AD17" s="485">
        <f>AC17/10^7</f>
        <v/>
      </c>
    </row>
    <row r="18">
      <c r="B18" s="32" t="inlineStr">
        <is>
          <t>Y12</t>
        </is>
      </c>
      <c r="C18" s="51">
        <f>C17+1</f>
        <v/>
      </c>
      <c r="D18" s="257">
        <f>D17+1</f>
        <v/>
      </c>
      <c r="E18" s="158">
        <f>E17*(1+E$5)</f>
        <v/>
      </c>
      <c r="F18" s="158">
        <f>F17*(1+F$5)</f>
        <v/>
      </c>
      <c r="G18" s="158">
        <f>G17*(1+G$5)</f>
        <v/>
      </c>
      <c r="H18" s="158" t="n"/>
      <c r="I18" s="377">
        <f>SUM(E18:H18)</f>
        <v/>
      </c>
      <c r="J18" s="158">
        <f>J17*(1+J$5)</f>
        <v/>
      </c>
      <c r="K18" s="158" t="n"/>
      <c r="L18" s="377">
        <f>SUM(J18:K18)</f>
        <v/>
      </c>
      <c r="M18" s="377">
        <f>I18-L18</f>
        <v/>
      </c>
      <c r="O18" s="51">
        <f>O17+1</f>
        <v/>
      </c>
      <c r="P18" s="350">
        <f>V17</f>
        <v/>
      </c>
      <c r="Q18" s="158">
        <f>M18</f>
        <v/>
      </c>
      <c r="R18" s="158">
        <f>-SUMIF('10_Financial_Goals'!$C$3:$C$12,'YoY Cash Flow'!C18,'10_Financial_Goals'!$H$3:$H$9)</f>
        <v/>
      </c>
      <c r="S18" s="158">
        <f>(P18+Q18/2-R18)*(S$5)</f>
        <v/>
      </c>
      <c r="T18" s="158" t="n"/>
      <c r="U18" s="158" t="n"/>
      <c r="V18" s="377">
        <f>P18+Q18+R18+S18+T18</f>
        <v/>
      </c>
      <c r="W18" s="362" t="n"/>
      <c r="X18" s="350">
        <f>AA17</f>
        <v/>
      </c>
      <c r="Y18" s="158" t="n"/>
      <c r="Z18" s="158">
        <f>X18*Z$5</f>
        <v/>
      </c>
      <c r="AA18" s="377">
        <f>SUM(X18:Z18)</f>
        <v/>
      </c>
      <c r="AB18" s="362" t="n"/>
      <c r="AC18" s="377">
        <f>SUM(V18,AA18)</f>
        <v/>
      </c>
      <c r="AD18" s="485">
        <f>AC18/10^7</f>
        <v/>
      </c>
    </row>
    <row r="19">
      <c r="B19" s="32" t="inlineStr">
        <is>
          <t>Y13</t>
        </is>
      </c>
      <c r="C19" s="51">
        <f>C18+1</f>
        <v/>
      </c>
      <c r="D19" s="257">
        <f>D18+1</f>
        <v/>
      </c>
      <c r="E19" s="158">
        <f>E18*(1+E$5)</f>
        <v/>
      </c>
      <c r="F19" s="158">
        <f>F18*(1+F$5)</f>
        <v/>
      </c>
      <c r="G19" s="158">
        <f>G18*(1+G$5)</f>
        <v/>
      </c>
      <c r="H19" s="158" t="n"/>
      <c r="I19" s="377">
        <f>SUM(E19:H19)</f>
        <v/>
      </c>
      <c r="J19" s="158">
        <f>J18*(1+J$5)</f>
        <v/>
      </c>
      <c r="K19" s="158" t="n"/>
      <c r="L19" s="377">
        <f>SUM(J19:K19)</f>
        <v/>
      </c>
      <c r="M19" s="377">
        <f>I19-L19</f>
        <v/>
      </c>
      <c r="O19" s="51">
        <f>O18+1</f>
        <v/>
      </c>
      <c r="P19" s="350">
        <f>V18</f>
        <v/>
      </c>
      <c r="Q19" s="158">
        <f>M19</f>
        <v/>
      </c>
      <c r="R19" s="158">
        <f>-SUMIF('10_Financial_Goals'!$C$3:$C$12,'YoY Cash Flow'!C19,'10_Financial_Goals'!$H$3:$H$9)</f>
        <v/>
      </c>
      <c r="S19" s="158">
        <f>(P19+Q19/2-R19)*(S$5)</f>
        <v/>
      </c>
      <c r="T19" s="158" t="n"/>
      <c r="U19" s="158" t="n"/>
      <c r="V19" s="377">
        <f>P19+Q19+R19+S19+T19</f>
        <v/>
      </c>
      <c r="W19" s="362" t="n"/>
      <c r="X19" s="350">
        <f>AA18</f>
        <v/>
      </c>
      <c r="Y19" s="158" t="n"/>
      <c r="Z19" s="158">
        <f>X19*Z$5</f>
        <v/>
      </c>
      <c r="AA19" s="377">
        <f>SUM(X19:Z19)</f>
        <v/>
      </c>
      <c r="AB19" s="362" t="n"/>
      <c r="AC19" s="377">
        <f>SUM(V19,AA19)</f>
        <v/>
      </c>
      <c r="AD19" s="485">
        <f>AC19/10^7</f>
        <v/>
      </c>
    </row>
    <row r="20">
      <c r="B20" s="32" t="inlineStr">
        <is>
          <t>Y14</t>
        </is>
      </c>
      <c r="C20" s="51">
        <f>C19+1</f>
        <v/>
      </c>
      <c r="D20" s="257">
        <f>D19+1</f>
        <v/>
      </c>
      <c r="E20" s="158">
        <f>E19*(1+E$5)</f>
        <v/>
      </c>
      <c r="F20" s="158">
        <f>F19*(1+F$5)</f>
        <v/>
      </c>
      <c r="G20" s="158">
        <f>G19*(1+G$5)</f>
        <v/>
      </c>
      <c r="H20" s="158" t="n"/>
      <c r="I20" s="377">
        <f>SUM(E20:H20)</f>
        <v/>
      </c>
      <c r="J20" s="158">
        <f>J19*(1+J$5)</f>
        <v/>
      </c>
      <c r="K20" s="158" t="n"/>
      <c r="L20" s="377">
        <f>SUM(J20:K20)</f>
        <v/>
      </c>
      <c r="M20" s="377">
        <f>I20-L20</f>
        <v/>
      </c>
      <c r="O20" s="51">
        <f>O19+1</f>
        <v/>
      </c>
      <c r="P20" s="350">
        <f>V19</f>
        <v/>
      </c>
      <c r="Q20" s="158">
        <f>M20</f>
        <v/>
      </c>
      <c r="R20" s="158">
        <f>-SUMIF('10_Financial_Goals'!$C$3:$C$12,'YoY Cash Flow'!C20,'10_Financial_Goals'!$H$3:$H$9)</f>
        <v/>
      </c>
      <c r="S20" s="158">
        <f>(P20+Q20/2-R20)*(S$5)</f>
        <v/>
      </c>
      <c r="T20" s="158" t="n"/>
      <c r="U20" s="158" t="n"/>
      <c r="V20" s="377">
        <f>P20+Q20+R20+S20+T20</f>
        <v/>
      </c>
      <c r="W20" s="362" t="n"/>
      <c r="X20" s="350">
        <f>AA19</f>
        <v/>
      </c>
      <c r="Y20" s="158" t="n"/>
      <c r="Z20" s="158">
        <f>X20*Z$5</f>
        <v/>
      </c>
      <c r="AA20" s="377">
        <f>SUM(X20:Z20)</f>
        <v/>
      </c>
      <c r="AB20" s="362" t="n"/>
      <c r="AC20" s="377">
        <f>SUM(V20,AA20)</f>
        <v/>
      </c>
      <c r="AD20" s="485">
        <f>AC20/10^7</f>
        <v/>
      </c>
    </row>
    <row r="21">
      <c r="B21" s="32" t="inlineStr">
        <is>
          <t>Y15</t>
        </is>
      </c>
      <c r="C21" s="51">
        <f>C20+1</f>
        <v/>
      </c>
      <c r="D21" s="257">
        <f>D20+1</f>
        <v/>
      </c>
      <c r="E21" s="158">
        <f>E20*(1+E$5)</f>
        <v/>
      </c>
      <c r="F21" s="158">
        <f>F20*(1+F$5)</f>
        <v/>
      </c>
      <c r="G21" s="158">
        <f>G20*(1+G$5)</f>
        <v/>
      </c>
      <c r="H21" s="158" t="n"/>
      <c r="I21" s="377">
        <f>SUM(E21:H21)</f>
        <v/>
      </c>
      <c r="J21" s="158">
        <f>J20*(1+J$5)</f>
        <v/>
      </c>
      <c r="K21" s="158" t="n"/>
      <c r="L21" s="377">
        <f>SUM(J21:K21)</f>
        <v/>
      </c>
      <c r="M21" s="377">
        <f>I21-L21</f>
        <v/>
      </c>
      <c r="O21" s="51">
        <f>O20+1</f>
        <v/>
      </c>
      <c r="P21" s="350">
        <f>V20</f>
        <v/>
      </c>
      <c r="Q21" s="158">
        <f>M21</f>
        <v/>
      </c>
      <c r="R21" s="158">
        <f>-SUMIF('10_Financial_Goals'!$C$3:$C$12,'YoY Cash Flow'!C21,'10_Financial_Goals'!$H$3:$H$9)</f>
        <v/>
      </c>
      <c r="S21" s="158">
        <f>(P21+Q21/2-R21)*(S$5)</f>
        <v/>
      </c>
      <c r="T21" s="158" t="n"/>
      <c r="U21" s="158" t="n"/>
      <c r="V21" s="377">
        <f>P21+Q21+R21+S21+T21</f>
        <v/>
      </c>
      <c r="W21" s="362" t="n"/>
      <c r="X21" s="350">
        <f>AA20</f>
        <v/>
      </c>
      <c r="Y21" s="158" t="n"/>
      <c r="Z21" s="158">
        <f>X21*Z$5</f>
        <v/>
      </c>
      <c r="AA21" s="377">
        <f>SUM(X21:Z21)</f>
        <v/>
      </c>
      <c r="AB21" s="362" t="n"/>
      <c r="AC21" s="377">
        <f>SUM(V21,AA21)</f>
        <v/>
      </c>
      <c r="AD21" s="485">
        <f>AC21/10^7</f>
        <v/>
      </c>
    </row>
    <row r="22">
      <c r="B22" s="32" t="inlineStr">
        <is>
          <t>Y16</t>
        </is>
      </c>
      <c r="C22" s="51">
        <f>C21+1</f>
        <v/>
      </c>
      <c r="D22" s="257">
        <f>D21+1</f>
        <v/>
      </c>
      <c r="E22" s="158">
        <f>E21*(1+E$5)</f>
        <v/>
      </c>
      <c r="F22" s="158">
        <f>F21*(1+F$5)</f>
        <v/>
      </c>
      <c r="G22" s="158">
        <f>G21*(1+G$5)</f>
        <v/>
      </c>
      <c r="H22" s="158" t="n"/>
      <c r="I22" s="377">
        <f>SUM(E22:H22)</f>
        <v/>
      </c>
      <c r="J22" s="158">
        <f>J21*(1+J$5)</f>
        <v/>
      </c>
      <c r="K22" s="158" t="n"/>
      <c r="L22" s="377">
        <f>SUM(J22:K22)</f>
        <v/>
      </c>
      <c r="M22" s="377">
        <f>I22-L22</f>
        <v/>
      </c>
      <c r="O22" s="51">
        <f>O21+1</f>
        <v/>
      </c>
      <c r="P22" s="350">
        <f>V21</f>
        <v/>
      </c>
      <c r="Q22" s="158">
        <f>M22</f>
        <v/>
      </c>
      <c r="R22" s="158">
        <f>-SUMIF('10_Financial_Goals'!$C$3:$C$12,'YoY Cash Flow'!C22,'10_Financial_Goals'!$H$3:$H$9)</f>
        <v/>
      </c>
      <c r="S22" s="158">
        <f>(P22+Q22/2-R22)*(S$5)</f>
        <v/>
      </c>
      <c r="T22" s="158" t="n"/>
      <c r="U22" s="158" t="n"/>
      <c r="V22" s="377">
        <f>P22+Q22+R22+S22+T22</f>
        <v/>
      </c>
      <c r="W22" s="362" t="n"/>
      <c r="X22" s="350">
        <f>AA21</f>
        <v/>
      </c>
      <c r="Y22" s="158" t="n"/>
      <c r="Z22" s="158">
        <f>X22*Z$5</f>
        <v/>
      </c>
      <c r="AA22" s="377">
        <f>SUM(X22:Z22)</f>
        <v/>
      </c>
      <c r="AB22" s="362" t="n"/>
      <c r="AC22" s="377">
        <f>SUM(V22,AA22)</f>
        <v/>
      </c>
      <c r="AD22" s="485">
        <f>AC22/10^7</f>
        <v/>
      </c>
    </row>
    <row r="23">
      <c r="B23" s="32" t="inlineStr">
        <is>
          <t>Y17</t>
        </is>
      </c>
      <c r="C23" s="51">
        <f>C22+1</f>
        <v/>
      </c>
      <c r="D23" s="257">
        <f>D22+1</f>
        <v/>
      </c>
      <c r="E23" s="158">
        <f>E22*(1+E$5)</f>
        <v/>
      </c>
      <c r="F23" s="158">
        <f>F22*(1+F$5)</f>
        <v/>
      </c>
      <c r="G23" s="158">
        <f>G22*(1+G$5)</f>
        <v/>
      </c>
      <c r="H23" s="158" t="n"/>
      <c r="I23" s="377">
        <f>SUM(E23:H23)</f>
        <v/>
      </c>
      <c r="J23" s="158">
        <f>J22*(1+J$5)</f>
        <v/>
      </c>
      <c r="K23" s="158" t="n"/>
      <c r="L23" s="377">
        <f>SUM(J23:K23)</f>
        <v/>
      </c>
      <c r="M23" s="377">
        <f>I23-L23</f>
        <v/>
      </c>
      <c r="O23" s="51">
        <f>O22+1</f>
        <v/>
      </c>
      <c r="P23" s="350">
        <f>V22</f>
        <v/>
      </c>
      <c r="Q23" s="158">
        <f>M23</f>
        <v/>
      </c>
      <c r="R23" s="158">
        <f>-SUMIF('10_Financial_Goals'!$C$3:$C$12,'YoY Cash Flow'!C23,'10_Financial_Goals'!$H$3:$H$9)</f>
        <v/>
      </c>
      <c r="S23" s="158">
        <f>(P23+Q23/2-R23)*(S$5)</f>
        <v/>
      </c>
      <c r="T23" s="158" t="n"/>
      <c r="U23" s="158" t="n"/>
      <c r="V23" s="377">
        <f>P23+Q23+R23+S23+T23</f>
        <v/>
      </c>
      <c r="W23" s="362" t="n"/>
      <c r="X23" s="350">
        <f>AA22</f>
        <v/>
      </c>
      <c r="Y23" s="158" t="n"/>
      <c r="Z23" s="158">
        <f>X23*Z$5</f>
        <v/>
      </c>
      <c r="AA23" s="377">
        <f>SUM(X23:Z23)</f>
        <v/>
      </c>
      <c r="AB23" s="362" t="n"/>
      <c r="AC23" s="377">
        <f>SUM(V23,AA23)</f>
        <v/>
      </c>
      <c r="AD23" s="485">
        <f>AC23/10^7</f>
        <v/>
      </c>
    </row>
    <row r="24">
      <c r="A24" s="486" t="n"/>
      <c r="B24" s="32" t="inlineStr">
        <is>
          <t>Y18</t>
        </is>
      </c>
      <c r="C24" s="51">
        <f>C23+1</f>
        <v/>
      </c>
      <c r="D24" s="257">
        <f>D23+1</f>
        <v/>
      </c>
      <c r="E24" s="158">
        <f>E23*(1+E$5)</f>
        <v/>
      </c>
      <c r="F24" s="158">
        <f>F23*(1+F$5)</f>
        <v/>
      </c>
      <c r="G24" s="158">
        <f>G23*(1+G$5)</f>
        <v/>
      </c>
      <c r="H24" s="158" t="n"/>
      <c r="I24" s="377">
        <f>SUM(E24:H24)</f>
        <v/>
      </c>
      <c r="J24" s="158">
        <f>J23*(1+J$5)</f>
        <v/>
      </c>
      <c r="K24" s="158" t="n"/>
      <c r="L24" s="377">
        <f>SUM(J24:K24)</f>
        <v/>
      </c>
      <c r="M24" s="377">
        <f>I24-L24</f>
        <v/>
      </c>
      <c r="O24" s="51">
        <f>O23+1</f>
        <v/>
      </c>
      <c r="P24" s="350">
        <f>V23</f>
        <v/>
      </c>
      <c r="Q24" s="158">
        <f>M24</f>
        <v/>
      </c>
      <c r="R24" s="158">
        <f>-SUMIF('10_Financial_Goals'!$C$3:$C$12,'YoY Cash Flow'!C24,'10_Financial_Goals'!$H$3:$H$9)</f>
        <v/>
      </c>
      <c r="S24" s="158">
        <f>(P24+Q24/2-R24)*(S$5)</f>
        <v/>
      </c>
      <c r="T24" s="158" t="n"/>
      <c r="U24" s="158" t="n"/>
      <c r="V24" s="377">
        <f>P24+Q24+R24+S24+T24</f>
        <v/>
      </c>
      <c r="W24" s="362" t="n"/>
      <c r="X24" s="350">
        <f>AA23</f>
        <v/>
      </c>
      <c r="Y24" s="158" t="n"/>
      <c r="Z24" s="158">
        <f>X24*Z$5</f>
        <v/>
      </c>
      <c r="AA24" s="377">
        <f>SUM(X24:Z24)</f>
        <v/>
      </c>
      <c r="AB24" s="362" t="n"/>
      <c r="AC24" s="377">
        <f>SUM(V24,AA24)</f>
        <v/>
      </c>
      <c r="AD24" s="485">
        <f>AC24/10^7</f>
        <v/>
      </c>
    </row>
    <row r="25">
      <c r="B25" s="32" t="inlineStr">
        <is>
          <t>Y19</t>
        </is>
      </c>
      <c r="C25" s="51">
        <f>C24+1</f>
        <v/>
      </c>
      <c r="D25" s="257">
        <f>D24+1</f>
        <v/>
      </c>
      <c r="E25" s="158">
        <f>E24*(1+E$5)</f>
        <v/>
      </c>
      <c r="F25" s="158">
        <f>F24*(1+F$5)</f>
        <v/>
      </c>
      <c r="G25" s="158">
        <f>G24*(1+G$5)</f>
        <v/>
      </c>
      <c r="H25" s="158">
        <f>Y25*4%</f>
        <v/>
      </c>
      <c r="I25" s="377">
        <f>SUM(E25:H25)</f>
        <v/>
      </c>
      <c r="J25" s="158">
        <f>J24*(1+J$5)</f>
        <v/>
      </c>
      <c r="K25" s="158" t="n"/>
      <c r="L25" s="377">
        <f>SUM(J25:K25)</f>
        <v/>
      </c>
      <c r="M25" s="377">
        <f>I25-L25</f>
        <v/>
      </c>
      <c r="O25" s="51">
        <f>O24+1</f>
        <v/>
      </c>
      <c r="P25" s="350">
        <f>V24</f>
        <v/>
      </c>
      <c r="Q25" s="158">
        <f>M25</f>
        <v/>
      </c>
      <c r="R25" s="158">
        <f>-SUMIF('10_Financial_Goals'!$C$3:$C$12,'YoY Cash Flow'!C25,'10_Financial_Goals'!$H$3:$H$9)</f>
        <v/>
      </c>
      <c r="S25" s="158">
        <f>(P25+Q25/2-R25)*(S$5)</f>
        <v/>
      </c>
      <c r="T25" s="158" t="n"/>
      <c r="U25" s="158" t="n"/>
      <c r="V25" s="377">
        <f>P25+Q25+R25+S25+T25</f>
        <v/>
      </c>
      <c r="W25" s="362" t="n"/>
      <c r="X25" s="350">
        <f>AA24</f>
        <v/>
      </c>
      <c r="Y25" s="158" t="n"/>
      <c r="Z25" s="158">
        <f>X25*Z$5</f>
        <v/>
      </c>
      <c r="AA25" s="377">
        <f>SUM(X25:Z25)</f>
        <v/>
      </c>
      <c r="AB25" s="362" t="n"/>
      <c r="AC25" s="377">
        <f>SUM(V25,AA25)</f>
        <v/>
      </c>
      <c r="AD25" s="485">
        <f>AC25/10^7</f>
        <v/>
      </c>
    </row>
    <row r="26" ht="28" customHeight="1">
      <c r="A26" s="348" t="inlineStr">
        <is>
          <t>Retirement Age</t>
        </is>
      </c>
      <c r="B26" s="32" t="inlineStr">
        <is>
          <t>Y20</t>
        </is>
      </c>
      <c r="C26" s="51">
        <f>C25+1</f>
        <v/>
      </c>
      <c r="D26" s="257">
        <f>D25+1</f>
        <v/>
      </c>
      <c r="E26" s="158">
        <f>E25*(1+E$5)</f>
        <v/>
      </c>
      <c r="F26" s="158">
        <f>F25*(1+F$5)</f>
        <v/>
      </c>
      <c r="G26" s="158">
        <f>G25*(1+G$5)</f>
        <v/>
      </c>
      <c r="H26" s="158">
        <f>H25*(1+H$5)</f>
        <v/>
      </c>
      <c r="I26" s="377">
        <f>SUM(E26:H26)</f>
        <v/>
      </c>
      <c r="J26" s="158">
        <f>J25*(1+J$5)</f>
        <v/>
      </c>
      <c r="K26" s="158" t="n"/>
      <c r="L26" s="377">
        <f>SUM(J26:K26)</f>
        <v/>
      </c>
      <c r="M26" s="377">
        <f>I26-L26</f>
        <v/>
      </c>
      <c r="O26" s="51">
        <f>O25+1</f>
        <v/>
      </c>
      <c r="P26" s="350">
        <f>V25</f>
        <v/>
      </c>
      <c r="Q26" s="158">
        <f>M26</f>
        <v/>
      </c>
      <c r="R26" s="158">
        <f>-SUMIF('10_Financial_Goals'!$C$3:$C$12,'YoY Cash Flow'!C26,'10_Financial_Goals'!$H$3:$H$9)</f>
        <v/>
      </c>
      <c r="S26" s="158">
        <f>(P26+Q26/2-R26)*(S$5)</f>
        <v/>
      </c>
      <c r="T26" s="158" t="n"/>
      <c r="U26" s="158" t="n"/>
      <c r="V26" s="377">
        <f>P26+Q26+R26+S26+T26</f>
        <v/>
      </c>
      <c r="W26" s="362" t="n"/>
      <c r="X26" s="350">
        <f>AA25</f>
        <v/>
      </c>
      <c r="Y26" s="158" t="n"/>
      <c r="Z26" s="158">
        <f>X26*Z$5</f>
        <v/>
      </c>
      <c r="AA26" s="377">
        <f>SUM(X26:Z26)</f>
        <v/>
      </c>
      <c r="AB26" s="362" t="n"/>
      <c r="AC26" s="377">
        <f>SUM(V26,AA26)</f>
        <v/>
      </c>
      <c r="AD26" s="485">
        <f>AC26/10^7</f>
        <v/>
      </c>
    </row>
    <row r="27">
      <c r="B27" s="32" t="inlineStr">
        <is>
          <t>Y21</t>
        </is>
      </c>
      <c r="C27" s="51">
        <f>C26+1</f>
        <v/>
      </c>
      <c r="D27" s="257">
        <f>D26+1</f>
        <v/>
      </c>
      <c r="E27" s="158" t="n"/>
      <c r="F27" s="158">
        <f>F26*(1+F$5)</f>
        <v/>
      </c>
      <c r="G27" s="158">
        <f>G26*(1+G$5)</f>
        <v/>
      </c>
      <c r="H27" s="158">
        <f>H26*(1+H$5)</f>
        <v/>
      </c>
      <c r="I27" s="377">
        <f>SUM(E27:H27)</f>
        <v/>
      </c>
      <c r="J27" s="378">
        <f>J26*(1+J$5)</f>
        <v/>
      </c>
      <c r="K27" s="158" t="n"/>
      <c r="L27" s="377">
        <f>SUM(J27:K27)</f>
        <v/>
      </c>
      <c r="M27" s="377">
        <f>I27-L27</f>
        <v/>
      </c>
      <c r="O27" s="51">
        <f>O26+1</f>
        <v/>
      </c>
      <c r="P27" s="350">
        <f>V26</f>
        <v/>
      </c>
      <c r="Q27" s="158">
        <f>M27</f>
        <v/>
      </c>
      <c r="R27" s="158">
        <f>-SUMIF('10_Financial_Goals'!$C$3:$C$12,'YoY Cash Flow'!C27,'10_Financial_Goals'!$H$3:$H$9)</f>
        <v/>
      </c>
      <c r="S27" s="158">
        <f>(P27+Q27/2-R27)*(S$5)</f>
        <v/>
      </c>
      <c r="T27" s="158" t="n"/>
      <c r="U27" s="158" t="n"/>
      <c r="V27" s="377">
        <f>P27+Q27+R27+S27+T27</f>
        <v/>
      </c>
      <c r="W27" s="362" t="n"/>
      <c r="X27" s="350">
        <f>AA26</f>
        <v/>
      </c>
      <c r="Y27" s="158" t="n"/>
      <c r="Z27" s="158">
        <f>X27*Z$5</f>
        <v/>
      </c>
      <c r="AA27" s="377">
        <f>SUM(X27:Z27)</f>
        <v/>
      </c>
      <c r="AB27" s="362" t="n"/>
      <c r="AC27" s="377">
        <f>SUM(V27,AA27)</f>
        <v/>
      </c>
      <c r="AD27" s="485">
        <f>AC27/10^7</f>
        <v/>
      </c>
    </row>
    <row r="28">
      <c r="B28" s="32" t="inlineStr">
        <is>
          <t>Y22</t>
        </is>
      </c>
      <c r="C28" s="51">
        <f>C27+1</f>
        <v/>
      </c>
      <c r="D28" s="257">
        <f>D27+1</f>
        <v/>
      </c>
      <c r="E28" s="158" t="n"/>
      <c r="F28" s="158">
        <f>F27*(1+F$5)</f>
        <v/>
      </c>
      <c r="G28" s="158">
        <f>G27*(1+G$5)</f>
        <v/>
      </c>
      <c r="H28" s="158">
        <f>H27*(1+H$5)</f>
        <v/>
      </c>
      <c r="I28" s="377">
        <f>SUM(E28:H28)</f>
        <v/>
      </c>
      <c r="J28" s="378">
        <f>J27*(1+J$5)</f>
        <v/>
      </c>
      <c r="K28" s="158" t="n"/>
      <c r="L28" s="377">
        <f>SUM(J28:K28)</f>
        <v/>
      </c>
      <c r="M28" s="377">
        <f>I28-L28</f>
        <v/>
      </c>
      <c r="O28" s="51">
        <f>O27+1</f>
        <v/>
      </c>
      <c r="P28" s="350">
        <f>V27</f>
        <v/>
      </c>
      <c r="Q28" s="158">
        <f>M28</f>
        <v/>
      </c>
      <c r="R28" s="158">
        <f>-SUMIF('10_Financial_Goals'!$C$3:$C$12,'YoY Cash Flow'!C28,'10_Financial_Goals'!$H$3:$H$9)</f>
        <v/>
      </c>
      <c r="S28" s="158">
        <f>(P28+Q28/2-R28)*(S$5)</f>
        <v/>
      </c>
      <c r="T28" s="158" t="n"/>
      <c r="U28" s="158" t="n"/>
      <c r="V28" s="377">
        <f>P28+Q28+R28+S28+T28</f>
        <v/>
      </c>
      <c r="W28" s="362" t="n"/>
      <c r="X28" s="350">
        <f>AA27</f>
        <v/>
      </c>
      <c r="Y28" s="158" t="n"/>
      <c r="Z28" s="158">
        <f>X28*Z$5</f>
        <v/>
      </c>
      <c r="AA28" s="377">
        <f>SUM(X28:Z28)</f>
        <v/>
      </c>
      <c r="AB28" s="362" t="n"/>
      <c r="AC28" s="377">
        <f>SUM(V28,AA28)</f>
        <v/>
      </c>
      <c r="AD28" s="485">
        <f>AC28/10^7</f>
        <v/>
      </c>
    </row>
    <row r="29">
      <c r="B29" s="32" t="inlineStr">
        <is>
          <t>Y23</t>
        </is>
      </c>
      <c r="C29" s="51">
        <f>C28+1</f>
        <v/>
      </c>
      <c r="D29" s="257">
        <f>D28+1</f>
        <v/>
      </c>
      <c r="E29" s="158" t="n"/>
      <c r="F29" s="158">
        <f>F28*(1+F$5)</f>
        <v/>
      </c>
      <c r="G29" s="158">
        <f>G28*(1+G$5)</f>
        <v/>
      </c>
      <c r="H29" s="158">
        <f>H28*(1+H$5)</f>
        <v/>
      </c>
      <c r="I29" s="377">
        <f>SUM(E29:H29)</f>
        <v/>
      </c>
      <c r="J29" s="378">
        <f>J28*(1+J$5)</f>
        <v/>
      </c>
      <c r="K29" s="158" t="n"/>
      <c r="L29" s="377">
        <f>SUM(J29:K29)</f>
        <v/>
      </c>
      <c r="M29" s="377">
        <f>I29-L29</f>
        <v/>
      </c>
      <c r="O29" s="51">
        <f>O28+1</f>
        <v/>
      </c>
      <c r="P29" s="350">
        <f>V28</f>
        <v/>
      </c>
      <c r="Q29" s="158">
        <f>M29</f>
        <v/>
      </c>
      <c r="R29" s="158">
        <f>-SUMIF('10_Financial_Goals'!$C$3:$C$12,'YoY Cash Flow'!C29,'10_Financial_Goals'!$H$3:$H$9)</f>
        <v/>
      </c>
      <c r="S29" s="158">
        <f>(P29+Q29/2-R29)*(S$5)</f>
        <v/>
      </c>
      <c r="T29" s="158" t="n"/>
      <c r="U29" s="158" t="n"/>
      <c r="V29" s="377">
        <f>P29+Q29+R29+S29+T29</f>
        <v/>
      </c>
      <c r="W29" s="362" t="n"/>
      <c r="X29" s="350">
        <f>AA28</f>
        <v/>
      </c>
      <c r="Y29" s="158" t="n"/>
      <c r="Z29" s="158">
        <f>X29*Z$5</f>
        <v/>
      </c>
      <c r="AA29" s="377">
        <f>SUM(X29:Z29)</f>
        <v/>
      </c>
      <c r="AB29" s="362" t="n"/>
      <c r="AC29" s="377">
        <f>SUM(V29,AA29)</f>
        <v/>
      </c>
      <c r="AD29" s="485">
        <f>AC29/10^7</f>
        <v/>
      </c>
    </row>
    <row r="30" ht="42" customHeight="1">
      <c r="A30" s="348" t="inlineStr">
        <is>
          <t>Business Income Ceases</t>
        </is>
      </c>
      <c r="B30" s="32" t="inlineStr">
        <is>
          <t>Y24</t>
        </is>
      </c>
      <c r="C30" s="51">
        <f>C29+1</f>
        <v/>
      </c>
      <c r="D30" s="257">
        <f>D29+1</f>
        <v/>
      </c>
      <c r="E30" s="158" t="n"/>
      <c r="F30" s="158">
        <f>F29*(1+F$5)</f>
        <v/>
      </c>
      <c r="G30" s="158">
        <f>G29*(1+G$5)</f>
        <v/>
      </c>
      <c r="H30" s="158">
        <f>H29*(1+H$5)</f>
        <v/>
      </c>
      <c r="I30" s="377">
        <f>SUM(E30:H30)</f>
        <v/>
      </c>
      <c r="J30" s="378">
        <f>J29*(1+J$5)</f>
        <v/>
      </c>
      <c r="K30" s="158" t="n"/>
      <c r="L30" s="377">
        <f>SUM(J30:K30)</f>
        <v/>
      </c>
      <c r="M30" s="377">
        <f>I30-L30</f>
        <v/>
      </c>
      <c r="O30" s="51">
        <f>O29+1</f>
        <v/>
      </c>
      <c r="P30" s="350">
        <f>V29</f>
        <v/>
      </c>
      <c r="Q30" s="158">
        <f>M30</f>
        <v/>
      </c>
      <c r="R30" s="158">
        <f>-SUMIF('10_Financial_Goals'!$C$3:$C$12,'YoY Cash Flow'!C30,'10_Financial_Goals'!$H$3:$H$9)</f>
        <v/>
      </c>
      <c r="S30" s="158">
        <f>(P30+Q30/2-R30)*(S$5)</f>
        <v/>
      </c>
      <c r="T30" s="378" t="n">
        <v>10000000</v>
      </c>
      <c r="U30" s="158" t="inlineStr">
        <is>
          <t>Reverse Mortgage</t>
        </is>
      </c>
      <c r="V30" s="377">
        <f>P30+Q30+R30+S30+T30</f>
        <v/>
      </c>
      <c r="W30" s="362" t="n"/>
      <c r="X30" s="350">
        <f>AA29</f>
        <v/>
      </c>
      <c r="Y30" s="158" t="n"/>
      <c r="Z30" s="158">
        <f>X30*Z$5</f>
        <v/>
      </c>
      <c r="AA30" s="377">
        <f>SUM(X30:Z30)</f>
        <v/>
      </c>
      <c r="AB30" s="362" t="n"/>
      <c r="AC30" s="377">
        <f>SUM(V30,AA30)</f>
        <v/>
      </c>
      <c r="AD30" s="485">
        <f>AC30/10^7</f>
        <v/>
      </c>
    </row>
    <row r="31">
      <c r="B31" s="32" t="inlineStr">
        <is>
          <t>Y25</t>
        </is>
      </c>
      <c r="C31" s="51">
        <f>C30+1</f>
        <v/>
      </c>
      <c r="D31" s="257">
        <f>D30+1</f>
        <v/>
      </c>
      <c r="E31" s="158" t="n"/>
      <c r="F31" s="158" t="n"/>
      <c r="G31" s="158">
        <f>G30*(1+G$5)</f>
        <v/>
      </c>
      <c r="H31" s="158">
        <f>H30*(1+H$5)</f>
        <v/>
      </c>
      <c r="I31" s="377">
        <f>SUM(E31:H31)</f>
        <v/>
      </c>
      <c r="J31" s="378">
        <f>J30*(1+J$5)</f>
        <v/>
      </c>
      <c r="K31" s="158" t="n"/>
      <c r="L31" s="377">
        <f>SUM(J31:K31)</f>
        <v/>
      </c>
      <c r="M31" s="377">
        <f>I31-L31</f>
        <v/>
      </c>
      <c r="O31" s="51">
        <f>O30+1</f>
        <v/>
      </c>
      <c r="P31" s="350">
        <f>V30</f>
        <v/>
      </c>
      <c r="Q31" s="158">
        <f>M31</f>
        <v/>
      </c>
      <c r="R31" s="158">
        <f>-SUMIF('10_Financial_Goals'!$C$3:$C$12,'YoY Cash Flow'!C31,'10_Financial_Goals'!$H$3:$H$9)</f>
        <v/>
      </c>
      <c r="S31" s="158">
        <f>(P31+Q31/2-R31)*(S$5)</f>
        <v/>
      </c>
      <c r="T31" s="158" t="n"/>
      <c r="U31" s="158" t="n"/>
      <c r="V31" s="377">
        <f>P31+Q31+R31+S31+T31</f>
        <v/>
      </c>
      <c r="W31" s="362" t="n"/>
      <c r="X31" s="350">
        <f>AA30</f>
        <v/>
      </c>
      <c r="Y31" s="158" t="n"/>
      <c r="Z31" s="158">
        <f>X31*Z$5</f>
        <v/>
      </c>
      <c r="AA31" s="377">
        <f>SUM(X31:Z31)</f>
        <v/>
      </c>
      <c r="AB31" s="362" t="n"/>
      <c r="AC31" s="377">
        <f>SUM(V31,AA31)</f>
        <v/>
      </c>
      <c r="AD31" s="485">
        <f>AC31/10^7</f>
        <v/>
      </c>
    </row>
    <row r="32">
      <c r="B32" s="32" t="inlineStr">
        <is>
          <t>Y26</t>
        </is>
      </c>
      <c r="C32" s="51">
        <f>C31+1</f>
        <v/>
      </c>
      <c r="D32" s="257">
        <f>D31+1</f>
        <v/>
      </c>
      <c r="E32" s="158" t="n"/>
      <c r="F32" s="158" t="n"/>
      <c r="G32" s="158">
        <f>G31*(1+G$5)</f>
        <v/>
      </c>
      <c r="H32" s="158">
        <f>H31*(1+H$5)</f>
        <v/>
      </c>
      <c r="I32" s="377">
        <f>SUM(E32:H32)</f>
        <v/>
      </c>
      <c r="J32" s="378">
        <f>J31*(1+J$5)</f>
        <v/>
      </c>
      <c r="K32" s="158" t="n"/>
      <c r="L32" s="377">
        <f>SUM(J32:K32)</f>
        <v/>
      </c>
      <c r="M32" s="377">
        <f>I32-L32</f>
        <v/>
      </c>
      <c r="O32" s="51">
        <f>O31+1</f>
        <v/>
      </c>
      <c r="P32" s="350">
        <f>V31</f>
        <v/>
      </c>
      <c r="Q32" s="158">
        <f>M32</f>
        <v/>
      </c>
      <c r="R32" s="158">
        <f>-SUMIF('10_Financial_Goals'!$C$3:$C$12,'YoY Cash Flow'!C32,'10_Financial_Goals'!$H$3:$H$9)</f>
        <v/>
      </c>
      <c r="S32" s="158">
        <f>(P32+Q32/2-R32)*(S$5)</f>
        <v/>
      </c>
      <c r="T32" s="378" t="n">
        <v>10000000</v>
      </c>
      <c r="U32" s="158" t="inlineStr">
        <is>
          <t>Reverse Mortgage</t>
        </is>
      </c>
      <c r="V32" s="377">
        <f>P32+Q32+R32+S32+T32</f>
        <v/>
      </c>
      <c r="W32" s="362" t="n"/>
      <c r="X32" s="350">
        <f>AA31</f>
        <v/>
      </c>
      <c r="Y32" s="158" t="n"/>
      <c r="Z32" s="158">
        <f>X32*Z$5</f>
        <v/>
      </c>
      <c r="AA32" s="377">
        <f>SUM(X32:Z32)</f>
        <v/>
      </c>
      <c r="AB32" s="362" t="n"/>
      <c r="AC32" s="377">
        <f>SUM(V32,AA32)</f>
        <v/>
      </c>
      <c r="AD32" s="485">
        <f>AC32/10^7</f>
        <v/>
      </c>
    </row>
    <row r="33">
      <c r="B33" s="32" t="inlineStr">
        <is>
          <t>Y27</t>
        </is>
      </c>
      <c r="C33" s="51">
        <f>C32+1</f>
        <v/>
      </c>
      <c r="D33" s="257">
        <f>D32+1</f>
        <v/>
      </c>
      <c r="E33" s="158" t="n"/>
      <c r="F33" s="158" t="n"/>
      <c r="G33" s="158">
        <f>G32*(1+G$5)</f>
        <v/>
      </c>
      <c r="H33" s="158">
        <f>H32*(1+H$5)</f>
        <v/>
      </c>
      <c r="I33" s="377">
        <f>SUM(E33:H33)</f>
        <v/>
      </c>
      <c r="J33" s="378">
        <f>J32*(1+J$5)</f>
        <v/>
      </c>
      <c r="K33" s="158" t="n"/>
      <c r="L33" s="377">
        <f>SUM(J33:K33)</f>
        <v/>
      </c>
      <c r="M33" s="377">
        <f>I33-L33</f>
        <v/>
      </c>
      <c r="O33" s="51">
        <f>O32+1</f>
        <v/>
      </c>
      <c r="P33" s="350">
        <f>V32</f>
        <v/>
      </c>
      <c r="Q33" s="158">
        <f>M33</f>
        <v/>
      </c>
      <c r="R33" s="158">
        <f>-SUMIF('10_Financial_Goals'!$C$3:$C$12,'YoY Cash Flow'!C33,'10_Financial_Goals'!$H$3:$H$9)</f>
        <v/>
      </c>
      <c r="S33" s="158">
        <f>(P33+Q33/2-R33)*(S$5)</f>
        <v/>
      </c>
      <c r="T33" s="158" t="n"/>
      <c r="U33" s="158" t="n"/>
      <c r="V33" s="377">
        <f>P33+Q33+R33+S33+T33</f>
        <v/>
      </c>
      <c r="W33" s="362" t="n"/>
      <c r="X33" s="350">
        <f>AA32</f>
        <v/>
      </c>
      <c r="Y33" s="158" t="n"/>
      <c r="Z33" s="158">
        <f>X33*Z$5</f>
        <v/>
      </c>
      <c r="AA33" s="377">
        <f>SUM(X33:Z33)</f>
        <v/>
      </c>
      <c r="AB33" s="362" t="n"/>
      <c r="AC33" s="377">
        <f>SUM(V33,AA33)</f>
        <v/>
      </c>
      <c r="AD33" s="485">
        <f>AC33/10^7</f>
        <v/>
      </c>
    </row>
    <row r="34">
      <c r="B34" s="32" t="inlineStr">
        <is>
          <t>Y28</t>
        </is>
      </c>
      <c r="C34" s="51">
        <f>C33+1</f>
        <v/>
      </c>
      <c r="D34" s="257">
        <f>D33+1</f>
        <v/>
      </c>
      <c r="E34" s="158" t="n"/>
      <c r="F34" s="158" t="n"/>
      <c r="G34" s="158">
        <f>G33*(1+G$5)</f>
        <v/>
      </c>
      <c r="H34" s="158">
        <f>H33*(1+H$5)</f>
        <v/>
      </c>
      <c r="I34" s="377">
        <f>SUM(E34:H34)</f>
        <v/>
      </c>
      <c r="J34" s="378">
        <f>J33*(1+J$5)</f>
        <v/>
      </c>
      <c r="K34" s="158" t="n"/>
      <c r="L34" s="377">
        <f>SUM(J34:K34)</f>
        <v/>
      </c>
      <c r="M34" s="377">
        <f>I34-L34</f>
        <v/>
      </c>
      <c r="O34" s="51">
        <f>O33+1</f>
        <v/>
      </c>
      <c r="P34" s="350">
        <f>V33</f>
        <v/>
      </c>
      <c r="Q34" s="158">
        <f>M34</f>
        <v/>
      </c>
      <c r="R34" s="158">
        <f>-SUMIF('10_Financial_Goals'!$C$3:$C$12,'YoY Cash Flow'!C34,'10_Financial_Goals'!$H$3:$H$9)</f>
        <v/>
      </c>
      <c r="S34" s="158">
        <f>(P34+Q34/2-R34)*(S$5)</f>
        <v/>
      </c>
      <c r="T34" s="378" t="n">
        <v>10000000</v>
      </c>
      <c r="U34" s="158" t="inlineStr">
        <is>
          <t>Reverse Mortgage</t>
        </is>
      </c>
      <c r="V34" s="377">
        <f>P34+Q34+R34+S34+T34</f>
        <v/>
      </c>
      <c r="W34" s="362" t="n"/>
      <c r="X34" s="350">
        <f>AA33</f>
        <v/>
      </c>
      <c r="Y34" s="158" t="n"/>
      <c r="Z34" s="158">
        <f>X34*Z$5</f>
        <v/>
      </c>
      <c r="AA34" s="377">
        <f>SUM(X34:Z34)</f>
        <v/>
      </c>
      <c r="AB34" s="362" t="n"/>
      <c r="AC34" s="377">
        <f>SUM(V34,AA34)</f>
        <v/>
      </c>
      <c r="AD34" s="485">
        <f>AC34/10^7</f>
        <v/>
      </c>
    </row>
    <row r="35">
      <c r="B35" s="32" t="inlineStr">
        <is>
          <t>Y29</t>
        </is>
      </c>
      <c r="C35" s="51">
        <f>C34+1</f>
        <v/>
      </c>
      <c r="D35" s="257">
        <f>D34+1</f>
        <v/>
      </c>
      <c r="E35" s="158" t="n"/>
      <c r="F35" s="158" t="n"/>
      <c r="G35" s="158">
        <f>G34*(1+G$5)</f>
        <v/>
      </c>
      <c r="H35" s="158">
        <f>H34*(1+H$5)</f>
        <v/>
      </c>
      <c r="I35" s="377">
        <f>SUM(E35:H35)</f>
        <v/>
      </c>
      <c r="J35" s="378">
        <f>J34*(1+J$5)</f>
        <v/>
      </c>
      <c r="K35" s="158" t="n"/>
      <c r="L35" s="377">
        <f>SUM(J35:K35)</f>
        <v/>
      </c>
      <c r="M35" s="377">
        <f>I35-L35</f>
        <v/>
      </c>
      <c r="O35" s="51">
        <f>O34+1</f>
        <v/>
      </c>
      <c r="P35" s="350">
        <f>V34</f>
        <v/>
      </c>
      <c r="Q35" s="158">
        <f>M35</f>
        <v/>
      </c>
      <c r="R35" s="158">
        <f>-SUMIF('10_Financial_Goals'!$C$3:$C$12,'YoY Cash Flow'!C35,'10_Financial_Goals'!$H$3:$H$9)</f>
        <v/>
      </c>
      <c r="S35" s="158">
        <f>(P35+Q35/2-R35)*(S$5)</f>
        <v/>
      </c>
      <c r="T35" s="158" t="n"/>
      <c r="U35" s="158" t="n"/>
      <c r="V35" s="377">
        <f>P35+Q35+R35+S35+T35</f>
        <v/>
      </c>
      <c r="W35" s="362" t="n"/>
      <c r="X35" s="350">
        <f>AA34</f>
        <v/>
      </c>
      <c r="Y35" s="158" t="n"/>
      <c r="Z35" s="158">
        <f>X35*Z$5</f>
        <v/>
      </c>
      <c r="AA35" s="377">
        <f>SUM(X35:Z35)</f>
        <v/>
      </c>
      <c r="AB35" s="362" t="n"/>
      <c r="AC35" s="377">
        <f>SUM(V35,AA35)</f>
        <v/>
      </c>
      <c r="AD35" s="485">
        <f>AC35/10^7</f>
        <v/>
      </c>
    </row>
    <row r="36">
      <c r="B36" s="32" t="inlineStr">
        <is>
          <t>Y30</t>
        </is>
      </c>
      <c r="C36" s="51">
        <f>C35+1</f>
        <v/>
      </c>
      <c r="D36" s="257">
        <f>D35+1</f>
        <v/>
      </c>
      <c r="E36" s="158" t="n"/>
      <c r="F36" s="158" t="n"/>
      <c r="G36" s="158">
        <f>G35*(1+G$5)</f>
        <v/>
      </c>
      <c r="H36" s="158">
        <f>H35*(1+H$5)</f>
        <v/>
      </c>
      <c r="I36" s="377">
        <f>SUM(E36:H36)</f>
        <v/>
      </c>
      <c r="J36" s="378">
        <f>J35*(1+J$5)</f>
        <v/>
      </c>
      <c r="K36" s="158" t="n"/>
      <c r="L36" s="377">
        <f>SUM(J36:K36)</f>
        <v/>
      </c>
      <c r="M36" s="377">
        <f>I36-L36</f>
        <v/>
      </c>
      <c r="O36" s="51">
        <f>O35+1</f>
        <v/>
      </c>
      <c r="P36" s="350">
        <f>V35</f>
        <v/>
      </c>
      <c r="Q36" s="158">
        <f>M36</f>
        <v/>
      </c>
      <c r="R36" s="158">
        <f>-SUMIF('10_Financial_Goals'!$C$3:$C$12,'YoY Cash Flow'!C36,'10_Financial_Goals'!$H$3:$H$9)</f>
        <v/>
      </c>
      <c r="S36" s="158">
        <f>(P36+Q36/2-R36)*(S$5)</f>
        <v/>
      </c>
      <c r="T36" s="378" t="n">
        <v>10000000</v>
      </c>
      <c r="U36" s="158" t="inlineStr">
        <is>
          <t>Reverse Mortgage</t>
        </is>
      </c>
      <c r="V36" s="377">
        <f>P36+Q36+R36+S36+T36</f>
        <v/>
      </c>
      <c r="W36" s="362" t="n"/>
      <c r="X36" s="350">
        <f>AA35</f>
        <v/>
      </c>
      <c r="Y36" s="158" t="n"/>
      <c r="Z36" s="158">
        <f>X36*Z$5</f>
        <v/>
      </c>
      <c r="AA36" s="377">
        <f>SUM(X36:Z36)</f>
        <v/>
      </c>
      <c r="AB36" s="362" t="n"/>
      <c r="AC36" s="377">
        <f>SUM(V36,AA36)</f>
        <v/>
      </c>
      <c r="AD36" s="485">
        <f>AC36/10^7</f>
        <v/>
      </c>
    </row>
    <row r="37">
      <c r="B37" s="32" t="inlineStr">
        <is>
          <t>Y31</t>
        </is>
      </c>
      <c r="C37" s="51">
        <f>C36+1</f>
        <v/>
      </c>
      <c r="D37" s="257">
        <f>D36+1</f>
        <v/>
      </c>
      <c r="E37" s="158" t="n"/>
      <c r="F37" s="158" t="n"/>
      <c r="G37" s="158">
        <f>G36*(1+G$5)</f>
        <v/>
      </c>
      <c r="H37" s="158">
        <f>H36*(1+H$5)</f>
        <v/>
      </c>
      <c r="I37" s="377">
        <f>SUM(E37:H37)</f>
        <v/>
      </c>
      <c r="J37" s="378">
        <f>J36*(1+J$5)</f>
        <v/>
      </c>
      <c r="K37" s="158" t="n"/>
      <c r="L37" s="377">
        <f>SUM(J37:K37)</f>
        <v/>
      </c>
      <c r="M37" s="377">
        <f>I37-L37</f>
        <v/>
      </c>
      <c r="O37" s="51">
        <f>O36+1</f>
        <v/>
      </c>
      <c r="P37" s="350">
        <f>V36</f>
        <v/>
      </c>
      <c r="Q37" s="158">
        <f>M37</f>
        <v/>
      </c>
      <c r="R37" s="158">
        <f>-SUMIF('10_Financial_Goals'!$C$3:$C$12,'YoY Cash Flow'!C37,'10_Financial_Goals'!$H$3:$H$9)</f>
        <v/>
      </c>
      <c r="S37" s="158">
        <f>(P37+Q37/2-R37)*(S$5)</f>
        <v/>
      </c>
      <c r="T37" s="158" t="n"/>
      <c r="U37" s="158" t="n"/>
      <c r="V37" s="377">
        <f>P37+Q37+R37+S37+T37</f>
        <v/>
      </c>
      <c r="W37" s="362" t="n"/>
      <c r="X37" s="350">
        <f>AA36</f>
        <v/>
      </c>
      <c r="Y37" s="158" t="n"/>
      <c r="Z37" s="158">
        <f>X37*Z$5</f>
        <v/>
      </c>
      <c r="AA37" s="377">
        <f>SUM(X37:Z37)</f>
        <v/>
      </c>
      <c r="AB37" s="362" t="n"/>
      <c r="AC37" s="377">
        <f>SUM(V37,AA37)</f>
        <v/>
      </c>
      <c r="AD37" s="485">
        <f>AC37/10^7</f>
        <v/>
      </c>
    </row>
    <row r="38">
      <c r="B38" s="32" t="inlineStr">
        <is>
          <t>Y32</t>
        </is>
      </c>
      <c r="C38" s="51">
        <f>C37+1</f>
        <v/>
      </c>
      <c r="D38" s="257">
        <f>D37+1</f>
        <v/>
      </c>
      <c r="E38" s="158" t="n"/>
      <c r="F38" s="158" t="n"/>
      <c r="G38" s="158">
        <f>G37*(1+G$5)</f>
        <v/>
      </c>
      <c r="H38" s="158">
        <f>H37*(1+H$5)</f>
        <v/>
      </c>
      <c r="I38" s="377">
        <f>SUM(E38:H38)</f>
        <v/>
      </c>
      <c r="J38" s="378">
        <f>J37*(1+J$5)</f>
        <v/>
      </c>
      <c r="K38" s="158" t="n"/>
      <c r="L38" s="377">
        <f>SUM(J38:K38)</f>
        <v/>
      </c>
      <c r="M38" s="377">
        <f>I38-L38</f>
        <v/>
      </c>
      <c r="O38" s="51">
        <f>O37+1</f>
        <v/>
      </c>
      <c r="P38" s="350">
        <f>V37</f>
        <v/>
      </c>
      <c r="Q38" s="158">
        <f>M38</f>
        <v/>
      </c>
      <c r="R38" s="158">
        <f>-SUMIF('10_Financial_Goals'!$C$3:$C$12,'YoY Cash Flow'!C38,'10_Financial_Goals'!$H$3:$H$9)</f>
        <v/>
      </c>
      <c r="S38" s="158">
        <f>(P38+Q38/2-R38)*(S$5)</f>
        <v/>
      </c>
      <c r="T38" s="378" t="n">
        <v>10000000</v>
      </c>
      <c r="U38" s="158" t="inlineStr">
        <is>
          <t>Reverse Mortgage</t>
        </is>
      </c>
      <c r="V38" s="377">
        <f>P38+Q38+R38+S38+T38</f>
        <v/>
      </c>
      <c r="W38" s="362" t="n"/>
      <c r="X38" s="350">
        <f>AA37</f>
        <v/>
      </c>
      <c r="Y38" s="158" t="n"/>
      <c r="Z38" s="158">
        <f>X38*Z$5</f>
        <v/>
      </c>
      <c r="AA38" s="377">
        <f>SUM(X38:Z38)</f>
        <v/>
      </c>
      <c r="AB38" s="362" t="n"/>
      <c r="AC38" s="377">
        <f>SUM(V38,AA38)</f>
        <v/>
      </c>
      <c r="AD38" s="485">
        <f>AC38/10^7</f>
        <v/>
      </c>
    </row>
    <row r="39">
      <c r="B39" s="32" t="inlineStr">
        <is>
          <t>Y33</t>
        </is>
      </c>
      <c r="C39" s="51">
        <f>C38+1</f>
        <v/>
      </c>
      <c r="D39" s="257">
        <f>D38+1</f>
        <v/>
      </c>
      <c r="E39" s="158" t="n"/>
      <c r="F39" s="158" t="n"/>
      <c r="G39" s="158">
        <f>G38*(1+G$5)</f>
        <v/>
      </c>
      <c r="H39" s="158">
        <f>H38*(1+H$5)</f>
        <v/>
      </c>
      <c r="I39" s="377">
        <f>SUM(E39:H39)</f>
        <v/>
      </c>
      <c r="J39" s="378">
        <f>J38*(1+J$5)</f>
        <v/>
      </c>
      <c r="K39" s="158" t="n"/>
      <c r="L39" s="377">
        <f>SUM(J39:K39)</f>
        <v/>
      </c>
      <c r="M39" s="377">
        <f>I39-L39</f>
        <v/>
      </c>
      <c r="O39" s="51">
        <f>O38+1</f>
        <v/>
      </c>
      <c r="P39" s="350">
        <f>V38</f>
        <v/>
      </c>
      <c r="Q39" s="158">
        <f>M39</f>
        <v/>
      </c>
      <c r="R39" s="158">
        <f>-SUMIF('10_Financial_Goals'!$C$3:$C$12,'YoY Cash Flow'!C39,'10_Financial_Goals'!$H$3:$H$9)</f>
        <v/>
      </c>
      <c r="S39" s="158">
        <f>(P39+Q39/2-R39)*(S$5)</f>
        <v/>
      </c>
      <c r="T39" s="158" t="n"/>
      <c r="U39" s="158" t="n"/>
      <c r="V39" s="377">
        <f>P39+Q39+R39+S39+T39</f>
        <v/>
      </c>
      <c r="W39" s="362" t="n"/>
      <c r="X39" s="350">
        <f>AA38</f>
        <v/>
      </c>
      <c r="Y39" s="158" t="n"/>
      <c r="Z39" s="158">
        <f>X39*Z$5</f>
        <v/>
      </c>
      <c r="AA39" s="377">
        <f>SUM(X39:Z39)</f>
        <v/>
      </c>
      <c r="AB39" s="362" t="n"/>
      <c r="AC39" s="377">
        <f>SUM(V39,AA39)</f>
        <v/>
      </c>
      <c r="AD39" s="485">
        <f>AC39/10^7</f>
        <v/>
      </c>
    </row>
    <row r="40">
      <c r="B40" s="32" t="inlineStr">
        <is>
          <t>Y34</t>
        </is>
      </c>
      <c r="C40" s="51">
        <f>C39+1</f>
        <v/>
      </c>
      <c r="D40" s="257">
        <f>D39+1</f>
        <v/>
      </c>
      <c r="E40" s="158" t="n"/>
      <c r="F40" s="158" t="n"/>
      <c r="G40" s="158">
        <f>G39*(1+G$5)</f>
        <v/>
      </c>
      <c r="H40" s="158">
        <f>H39*(1+H$5)</f>
        <v/>
      </c>
      <c r="I40" s="377">
        <f>SUM(E40:H40)</f>
        <v/>
      </c>
      <c r="J40" s="378">
        <f>J39*(1+J$5)</f>
        <v/>
      </c>
      <c r="K40" s="158" t="n"/>
      <c r="L40" s="377">
        <f>SUM(J40:K40)</f>
        <v/>
      </c>
      <c r="M40" s="377">
        <f>I40-L40</f>
        <v/>
      </c>
      <c r="O40" s="51">
        <f>O39+1</f>
        <v/>
      </c>
      <c r="P40" s="350">
        <f>V39</f>
        <v/>
      </c>
      <c r="Q40" s="158">
        <f>M40</f>
        <v/>
      </c>
      <c r="R40" s="158">
        <f>-SUMIF('10_Financial_Goals'!$C$3:$C$12,'YoY Cash Flow'!C40,'10_Financial_Goals'!$H$3:$H$9)</f>
        <v/>
      </c>
      <c r="S40" s="158">
        <f>(P40+Q40/2-R40)*(S$5)</f>
        <v/>
      </c>
      <c r="T40" s="158" t="n"/>
      <c r="U40" s="158" t="n"/>
      <c r="V40" s="377">
        <f>P40+Q40+R40+S40+T40</f>
        <v/>
      </c>
      <c r="W40" s="362" t="n"/>
      <c r="X40" s="350">
        <f>AA39</f>
        <v/>
      </c>
      <c r="Y40" s="158" t="n"/>
      <c r="Z40" s="158">
        <f>X40*Z$5</f>
        <v/>
      </c>
      <c r="AA40" s="377">
        <f>SUM(X40:Z40)</f>
        <v/>
      </c>
      <c r="AB40" s="362" t="n"/>
      <c r="AC40" s="377">
        <f>SUM(V40,AA40)</f>
        <v/>
      </c>
      <c r="AD40" s="485">
        <f>AC40/10^7</f>
        <v/>
      </c>
    </row>
    <row r="41">
      <c r="B41" s="32" t="inlineStr">
        <is>
          <t>Y35</t>
        </is>
      </c>
      <c r="C41" s="51">
        <f>C40+1</f>
        <v/>
      </c>
      <c r="D41" s="257">
        <f>D40+1</f>
        <v/>
      </c>
      <c r="E41" s="158" t="n"/>
      <c r="F41" s="158" t="n"/>
      <c r="G41" s="158">
        <f>G40*(1+G$5)</f>
        <v/>
      </c>
      <c r="H41" s="158">
        <f>H40*(1+H$5)</f>
        <v/>
      </c>
      <c r="I41" s="377">
        <f>SUM(E41:H41)</f>
        <v/>
      </c>
      <c r="J41" s="378">
        <f>J40*(1+J$5)</f>
        <v/>
      </c>
      <c r="K41" s="158" t="n"/>
      <c r="L41" s="377">
        <f>SUM(J41:K41)</f>
        <v/>
      </c>
      <c r="M41" s="377">
        <f>I41-L41</f>
        <v/>
      </c>
      <c r="O41" s="51">
        <f>O40+1</f>
        <v/>
      </c>
      <c r="P41" s="350">
        <f>V40</f>
        <v/>
      </c>
      <c r="Q41" s="158">
        <f>M41</f>
        <v/>
      </c>
      <c r="R41" s="158">
        <f>-SUMIF('10_Financial_Goals'!$C$3:$C$12,'YoY Cash Flow'!C41,'10_Financial_Goals'!$H$3:$H$9)</f>
        <v/>
      </c>
      <c r="S41" s="158">
        <f>(P41+Q41/2-R41)*(S$5)</f>
        <v/>
      </c>
      <c r="T41" s="158" t="n"/>
      <c r="U41" s="158" t="n"/>
      <c r="V41" s="377">
        <f>P41+Q41+R41+S41+T41</f>
        <v/>
      </c>
      <c r="W41" s="362" t="n"/>
      <c r="X41" s="350">
        <f>AA40</f>
        <v/>
      </c>
      <c r="Y41" s="158" t="n"/>
      <c r="Z41" s="158">
        <f>X41*Z$5</f>
        <v/>
      </c>
      <c r="AA41" s="377">
        <f>SUM(X41:Z41)</f>
        <v/>
      </c>
      <c r="AB41" s="362" t="n"/>
      <c r="AC41" s="377">
        <f>SUM(V41,AA41)</f>
        <v/>
      </c>
      <c r="AD41" s="485">
        <f>AC41/10^7</f>
        <v/>
      </c>
    </row>
    <row r="42">
      <c r="B42" s="32" t="inlineStr">
        <is>
          <t>Y36</t>
        </is>
      </c>
      <c r="C42" s="51">
        <f>C41+1</f>
        <v/>
      </c>
      <c r="D42" s="257">
        <f>D41+1</f>
        <v/>
      </c>
      <c r="E42" s="158" t="n"/>
      <c r="F42" s="158" t="n"/>
      <c r="G42" s="158">
        <f>G41*(1+G$5)</f>
        <v/>
      </c>
      <c r="H42" s="158">
        <f>H41*(1+H$5)</f>
        <v/>
      </c>
      <c r="I42" s="377">
        <f>SUM(E42:H42)</f>
        <v/>
      </c>
      <c r="J42" s="378">
        <f>J41*(1+J$5)</f>
        <v/>
      </c>
      <c r="K42" s="158" t="n"/>
      <c r="L42" s="377">
        <f>SUM(J42:K42)</f>
        <v/>
      </c>
      <c r="M42" s="377">
        <f>I42-L42</f>
        <v/>
      </c>
      <c r="O42" s="51">
        <f>O41+1</f>
        <v/>
      </c>
      <c r="P42" s="350">
        <f>V41</f>
        <v/>
      </c>
      <c r="Q42" s="158">
        <f>M42</f>
        <v/>
      </c>
      <c r="R42" s="158">
        <f>-SUMIF('10_Financial_Goals'!$C$3:$C$12,'YoY Cash Flow'!C42,'10_Financial_Goals'!$H$3:$H$9)</f>
        <v/>
      </c>
      <c r="S42" s="158">
        <f>(P42+Q42/2-R42)*(S$5)</f>
        <v/>
      </c>
      <c r="T42" s="158" t="n"/>
      <c r="U42" s="158" t="n"/>
      <c r="V42" s="377">
        <f>P42+Q42+R42+S42+T42</f>
        <v/>
      </c>
      <c r="W42" s="362" t="n"/>
      <c r="X42" s="350">
        <f>AA41</f>
        <v/>
      </c>
      <c r="Y42" s="158" t="n"/>
      <c r="Z42" s="158">
        <f>X42*Z$5</f>
        <v/>
      </c>
      <c r="AA42" s="377">
        <f>SUM(X42:Z42)</f>
        <v/>
      </c>
      <c r="AB42" s="362" t="n"/>
      <c r="AC42" s="377">
        <f>SUM(V42,AA42)</f>
        <v/>
      </c>
      <c r="AD42" s="485">
        <f>AC42/10^7</f>
        <v/>
      </c>
    </row>
    <row r="43">
      <c r="B43" s="32" t="inlineStr">
        <is>
          <t>Y37</t>
        </is>
      </c>
      <c r="C43" s="51">
        <f>C42+1</f>
        <v/>
      </c>
      <c r="D43" s="257">
        <f>D42+1</f>
        <v/>
      </c>
      <c r="E43" s="158" t="n"/>
      <c r="F43" s="158" t="n"/>
      <c r="G43" s="158">
        <f>G42*(1+G$5)</f>
        <v/>
      </c>
      <c r="H43" s="158">
        <f>H42*(1+H$5)</f>
        <v/>
      </c>
      <c r="I43" s="377">
        <f>SUM(E43:H43)</f>
        <v/>
      </c>
      <c r="J43" s="378">
        <f>J42*(1+J$5)</f>
        <v/>
      </c>
      <c r="K43" s="158" t="n"/>
      <c r="L43" s="377">
        <f>SUM(J43:K43)</f>
        <v/>
      </c>
      <c r="M43" s="377">
        <f>I43-L43</f>
        <v/>
      </c>
      <c r="O43" s="51">
        <f>O42+1</f>
        <v/>
      </c>
      <c r="P43" s="350">
        <f>V42</f>
        <v/>
      </c>
      <c r="Q43" s="158">
        <f>M43</f>
        <v/>
      </c>
      <c r="R43" s="158">
        <f>-SUMIF('10_Financial_Goals'!$C$3:$C$12,'YoY Cash Flow'!C43,'10_Financial_Goals'!$H$3:$H$9)</f>
        <v/>
      </c>
      <c r="S43" s="158">
        <f>(P43+Q43/2-R43)*(S$5)</f>
        <v/>
      </c>
      <c r="T43" s="158" t="n"/>
      <c r="U43" s="158" t="n"/>
      <c r="V43" s="377">
        <f>P43+Q43+R43+S43+T43</f>
        <v/>
      </c>
      <c r="W43" s="362" t="n"/>
      <c r="X43" s="350">
        <f>AA42</f>
        <v/>
      </c>
      <c r="Y43" s="158" t="n"/>
      <c r="Z43" s="158">
        <f>X43*Z$5</f>
        <v/>
      </c>
      <c r="AA43" s="377">
        <f>SUM(X43:Z43)</f>
        <v/>
      </c>
      <c r="AB43" s="362" t="n"/>
      <c r="AC43" s="377">
        <f>SUM(V43,AA43)</f>
        <v/>
      </c>
      <c r="AD43" s="485">
        <f>AC43/10^7</f>
        <v/>
      </c>
    </row>
    <row r="44">
      <c r="B44" s="32" t="inlineStr">
        <is>
          <t>Y38</t>
        </is>
      </c>
      <c r="C44" s="51">
        <f>C43+1</f>
        <v/>
      </c>
      <c r="D44" s="257">
        <f>D43+1</f>
        <v/>
      </c>
      <c r="E44" s="158" t="n"/>
      <c r="F44" s="158" t="n"/>
      <c r="G44" s="158">
        <f>G43*(1+G$5)</f>
        <v/>
      </c>
      <c r="H44" s="158">
        <f>H43*(1+H$5)</f>
        <v/>
      </c>
      <c r="I44" s="377">
        <f>SUM(E44:H44)</f>
        <v/>
      </c>
      <c r="J44" s="378">
        <f>J43*(1+J$5)</f>
        <v/>
      </c>
      <c r="K44" s="158" t="n"/>
      <c r="L44" s="377">
        <f>SUM(J44:K44)</f>
        <v/>
      </c>
      <c r="M44" s="377">
        <f>I44-L44</f>
        <v/>
      </c>
      <c r="O44" s="51">
        <f>O43+1</f>
        <v/>
      </c>
      <c r="P44" s="350">
        <f>V43</f>
        <v/>
      </c>
      <c r="Q44" s="158">
        <f>M44</f>
        <v/>
      </c>
      <c r="R44" s="158">
        <f>-SUMIF('10_Financial_Goals'!$C$3:$C$12,'YoY Cash Flow'!C44,'10_Financial_Goals'!$H$3:$H$9)</f>
        <v/>
      </c>
      <c r="S44" s="158">
        <f>(P44+Q44/2-R44)*(S$5)</f>
        <v/>
      </c>
      <c r="T44" s="158" t="n"/>
      <c r="U44" s="158" t="n"/>
      <c r="V44" s="377">
        <f>P44+Q44+R44+S44+T44</f>
        <v/>
      </c>
      <c r="W44" s="362" t="n"/>
      <c r="X44" s="350">
        <f>AA43</f>
        <v/>
      </c>
      <c r="Y44" s="158" t="n"/>
      <c r="Z44" s="158">
        <f>X44*Z$5</f>
        <v/>
      </c>
      <c r="AA44" s="377">
        <f>SUM(X44:Z44)</f>
        <v/>
      </c>
      <c r="AB44" s="362" t="n"/>
      <c r="AC44" s="377">
        <f>SUM(V44,AA44)</f>
        <v/>
      </c>
      <c r="AD44" s="485">
        <f>AC44/10^7</f>
        <v/>
      </c>
    </row>
    <row r="45">
      <c r="B45" s="32" t="inlineStr">
        <is>
          <t>Y39</t>
        </is>
      </c>
      <c r="C45" s="51">
        <f>C44+1</f>
        <v/>
      </c>
      <c r="D45" s="257">
        <f>D44+1</f>
        <v/>
      </c>
      <c r="E45" s="158" t="n"/>
      <c r="F45" s="158" t="n"/>
      <c r="G45" s="158">
        <f>G44*(1+G$5)</f>
        <v/>
      </c>
      <c r="H45" s="158">
        <f>H44*(1+H$5)</f>
        <v/>
      </c>
      <c r="I45" s="377">
        <f>SUM(E45:H45)</f>
        <v/>
      </c>
      <c r="J45" s="378">
        <f>J44*(1+J$5)</f>
        <v/>
      </c>
      <c r="K45" s="158" t="n"/>
      <c r="L45" s="377">
        <f>SUM(J45:K45)</f>
        <v/>
      </c>
      <c r="M45" s="377">
        <f>I45-L45</f>
        <v/>
      </c>
      <c r="O45" s="51">
        <f>O44+1</f>
        <v/>
      </c>
      <c r="P45" s="350">
        <f>V44</f>
        <v/>
      </c>
      <c r="Q45" s="158">
        <f>M45</f>
        <v/>
      </c>
      <c r="R45" s="158">
        <f>-SUMIF('10_Financial_Goals'!$C$3:$C$12,'YoY Cash Flow'!C45,'10_Financial_Goals'!$H$3:$H$9)</f>
        <v/>
      </c>
      <c r="S45" s="158">
        <f>(P45+Q45/2-R45)*(S$5)</f>
        <v/>
      </c>
      <c r="T45" s="158" t="n"/>
      <c r="U45" s="158" t="n"/>
      <c r="V45" s="377">
        <f>P45+Q45+R45+S45+T45</f>
        <v/>
      </c>
      <c r="W45" s="362" t="n"/>
      <c r="X45" s="350">
        <f>AA44</f>
        <v/>
      </c>
      <c r="Y45" s="158" t="n"/>
      <c r="Z45" s="158">
        <f>X45*Z$5</f>
        <v/>
      </c>
      <c r="AA45" s="377">
        <f>SUM(X45:Z45)</f>
        <v/>
      </c>
      <c r="AB45" s="362" t="n"/>
      <c r="AC45" s="377">
        <f>SUM(V45,AA45)</f>
        <v/>
      </c>
      <c r="AD45" s="485">
        <f>AC45/10^7</f>
        <v/>
      </c>
    </row>
    <row r="46">
      <c r="B46" s="32" t="inlineStr">
        <is>
          <t>Y40</t>
        </is>
      </c>
      <c r="C46" s="51">
        <f>C45+1</f>
        <v/>
      </c>
      <c r="D46" s="257">
        <f>D45+1</f>
        <v/>
      </c>
      <c r="E46" s="158" t="n"/>
      <c r="F46" s="158" t="n"/>
      <c r="G46" s="158">
        <f>G45*(1+G$5)</f>
        <v/>
      </c>
      <c r="H46" s="158">
        <f>H45*(1+H$5)</f>
        <v/>
      </c>
      <c r="I46" s="377">
        <f>SUM(E46:H46)</f>
        <v/>
      </c>
      <c r="J46" s="378">
        <f>J45*(1+J$5)</f>
        <v/>
      </c>
      <c r="K46" s="158" t="n"/>
      <c r="L46" s="377">
        <f>SUM(J46:K46)</f>
        <v/>
      </c>
      <c r="M46" s="377">
        <f>I46-L46</f>
        <v/>
      </c>
      <c r="O46" s="51">
        <f>O45+1</f>
        <v/>
      </c>
      <c r="P46" s="350">
        <f>V45</f>
        <v/>
      </c>
      <c r="Q46" s="158">
        <f>M46</f>
        <v/>
      </c>
      <c r="R46" s="158">
        <f>-SUMIF('10_Financial_Goals'!$C$3:$C$12,'YoY Cash Flow'!C46,'10_Financial_Goals'!$H$3:$H$9)</f>
        <v/>
      </c>
      <c r="S46" s="158">
        <f>(P46+Q46/2-R46)*(S$5)</f>
        <v/>
      </c>
      <c r="T46" s="158" t="n"/>
      <c r="U46" s="158" t="n"/>
      <c r="V46" s="377">
        <f>P46+Q46+R46+S46+T46</f>
        <v/>
      </c>
      <c r="W46" s="362" t="n"/>
      <c r="X46" s="350">
        <f>AA45</f>
        <v/>
      </c>
      <c r="Y46" s="158" t="n"/>
      <c r="Z46" s="158">
        <f>X46*Z$5</f>
        <v/>
      </c>
      <c r="AA46" s="377">
        <f>SUM(X46:Z46)</f>
        <v/>
      </c>
      <c r="AB46" s="362" t="n"/>
      <c r="AC46" s="377">
        <f>SUM(V46,AA46)</f>
        <v/>
      </c>
      <c r="AD46" s="485">
        <f>AC46/10^7</f>
        <v/>
      </c>
    </row>
    <row r="47">
      <c r="B47" s="32" t="inlineStr">
        <is>
          <t>Y41</t>
        </is>
      </c>
      <c r="C47" s="51">
        <f>C46+1</f>
        <v/>
      </c>
      <c r="D47" s="257">
        <f>D46+1</f>
        <v/>
      </c>
      <c r="E47" s="158" t="n"/>
      <c r="F47" s="158" t="n"/>
      <c r="G47" s="158">
        <f>G46*(1+G$5)</f>
        <v/>
      </c>
      <c r="H47" s="158">
        <f>H46*(1+H$5)</f>
        <v/>
      </c>
      <c r="I47" s="377">
        <f>SUM(E47:H47)</f>
        <v/>
      </c>
      <c r="J47" s="378">
        <f>J46*(1+J$5)</f>
        <v/>
      </c>
      <c r="K47" s="158" t="n"/>
      <c r="L47" s="377">
        <f>SUM(J47:K47)</f>
        <v/>
      </c>
      <c r="M47" s="377">
        <f>I47-L47</f>
        <v/>
      </c>
      <c r="O47" s="51">
        <f>O46+1</f>
        <v/>
      </c>
      <c r="P47" s="350">
        <f>V46</f>
        <v/>
      </c>
      <c r="Q47" s="158">
        <f>M47</f>
        <v/>
      </c>
      <c r="R47" s="158">
        <f>-SUMIF('10_Financial_Goals'!$C$3:$C$12,'YoY Cash Flow'!C47,'10_Financial_Goals'!$H$3:$H$9)</f>
        <v/>
      </c>
      <c r="S47" s="158">
        <f>(P47+Q47/2-R47)*(S$5)</f>
        <v/>
      </c>
      <c r="T47" s="158" t="n"/>
      <c r="U47" s="158" t="n"/>
      <c r="V47" s="377">
        <f>P47+Q47+R47+S47+T47</f>
        <v/>
      </c>
      <c r="W47" s="362" t="n"/>
      <c r="X47" s="350">
        <f>AA46</f>
        <v/>
      </c>
      <c r="Y47" s="158" t="n"/>
      <c r="Z47" s="158">
        <f>X47*Z$5</f>
        <v/>
      </c>
      <c r="AA47" s="377">
        <f>SUM(X47:Z47)</f>
        <v/>
      </c>
      <c r="AB47" s="362" t="n"/>
      <c r="AC47" s="377">
        <f>SUM(V47,AA47)</f>
        <v/>
      </c>
      <c r="AD47" s="485">
        <f>AC47/10^7</f>
        <v/>
      </c>
    </row>
    <row r="48">
      <c r="B48" s="32" t="inlineStr">
        <is>
          <t>Y42</t>
        </is>
      </c>
      <c r="C48" s="51">
        <f>C47+1</f>
        <v/>
      </c>
      <c r="D48" s="257">
        <f>D47+1</f>
        <v/>
      </c>
      <c r="E48" s="158" t="n"/>
      <c r="F48" s="158" t="n"/>
      <c r="G48" s="158">
        <f>G47*(1+G$5)</f>
        <v/>
      </c>
      <c r="H48" s="158">
        <f>H47*(1+H$5)</f>
        <v/>
      </c>
      <c r="I48" s="377">
        <f>SUM(E48:H48)</f>
        <v/>
      </c>
      <c r="J48" s="378">
        <f>J47*(1+J$5)</f>
        <v/>
      </c>
      <c r="K48" s="158" t="n"/>
      <c r="L48" s="377">
        <f>SUM(J48:K48)</f>
        <v/>
      </c>
      <c r="M48" s="377">
        <f>I48-L48</f>
        <v/>
      </c>
      <c r="O48" s="51">
        <f>O47+1</f>
        <v/>
      </c>
      <c r="P48" s="350">
        <f>V47</f>
        <v/>
      </c>
      <c r="Q48" s="158">
        <f>M48</f>
        <v/>
      </c>
      <c r="R48" s="158">
        <f>-SUMIF('10_Financial_Goals'!$C$3:$C$12,'YoY Cash Flow'!C48,'10_Financial_Goals'!$H$3:$H$9)</f>
        <v/>
      </c>
      <c r="S48" s="158">
        <f>(P48+Q48/2-R48)*(S$5)</f>
        <v/>
      </c>
      <c r="T48" s="158" t="n"/>
      <c r="U48" s="158" t="n"/>
      <c r="V48" s="377">
        <f>P48+Q48+R48+S48+T48</f>
        <v/>
      </c>
      <c r="W48" s="362" t="n"/>
      <c r="X48" s="350">
        <f>AA47</f>
        <v/>
      </c>
      <c r="Y48" s="158" t="n"/>
      <c r="Z48" s="158">
        <f>X48*Z$5</f>
        <v/>
      </c>
      <c r="AA48" s="377">
        <f>SUM(X48:Z48)</f>
        <v/>
      </c>
      <c r="AB48" s="362" t="n"/>
      <c r="AC48" s="377">
        <f>SUM(V48,AA48)</f>
        <v/>
      </c>
      <c r="AD48" s="485">
        <f>AC48/10^7</f>
        <v/>
      </c>
    </row>
    <row r="49">
      <c r="B49" s="32" t="inlineStr">
        <is>
          <t>Y43</t>
        </is>
      </c>
      <c r="C49" s="51">
        <f>C48+1</f>
        <v/>
      </c>
      <c r="D49" s="257">
        <f>D48+1</f>
        <v/>
      </c>
      <c r="E49" s="158" t="n"/>
      <c r="F49" s="158" t="n"/>
      <c r="G49" s="158">
        <f>G48*(1+G$5)</f>
        <v/>
      </c>
      <c r="H49" s="158">
        <f>H48*(1+H$5)</f>
        <v/>
      </c>
      <c r="I49" s="377">
        <f>SUM(E49:H49)</f>
        <v/>
      </c>
      <c r="J49" s="378">
        <f>J48*(1+J$5)</f>
        <v/>
      </c>
      <c r="K49" s="158" t="n"/>
      <c r="L49" s="377">
        <f>SUM(J49:K49)</f>
        <v/>
      </c>
      <c r="M49" s="377">
        <f>I49-L49</f>
        <v/>
      </c>
      <c r="O49" s="51">
        <f>O48+1</f>
        <v/>
      </c>
      <c r="P49" s="350">
        <f>V48</f>
        <v/>
      </c>
      <c r="Q49" s="158">
        <f>M49</f>
        <v/>
      </c>
      <c r="R49" s="158">
        <f>-SUMIF('10_Financial_Goals'!$C$3:$C$12,'YoY Cash Flow'!C49,'10_Financial_Goals'!$H$3:$H$9)</f>
        <v/>
      </c>
      <c r="S49" s="158">
        <f>(P49+Q49/2-R49)*(S$5)</f>
        <v/>
      </c>
      <c r="T49" s="158" t="n"/>
      <c r="U49" s="158" t="n"/>
      <c r="V49" s="377">
        <f>P49+Q49+R49+S49+T49</f>
        <v/>
      </c>
      <c r="W49" s="362" t="n"/>
      <c r="X49" s="350">
        <f>AA48</f>
        <v/>
      </c>
      <c r="Y49" s="158" t="n"/>
      <c r="Z49" s="158">
        <f>X49*Z$5</f>
        <v/>
      </c>
      <c r="AA49" s="377">
        <f>SUM(X49:Z49)</f>
        <v/>
      </c>
      <c r="AB49" s="362" t="n"/>
      <c r="AC49" s="377">
        <f>SUM(V49,AA49)</f>
        <v/>
      </c>
      <c r="AD49" s="485">
        <f>AC49/10^7</f>
        <v/>
      </c>
    </row>
    <row r="50">
      <c r="B50" s="32" t="inlineStr">
        <is>
          <t>Y44</t>
        </is>
      </c>
      <c r="C50" s="51">
        <f>C49+1</f>
        <v/>
      </c>
      <c r="D50" s="257">
        <f>D49+1</f>
        <v/>
      </c>
      <c r="E50" s="158" t="n"/>
      <c r="F50" s="158" t="n"/>
      <c r="G50" s="158">
        <f>G49*(1+G$5)</f>
        <v/>
      </c>
      <c r="H50" s="158">
        <f>H49*(1+H$5)</f>
        <v/>
      </c>
      <c r="I50" s="377">
        <f>SUM(E50:H50)</f>
        <v/>
      </c>
      <c r="J50" s="378">
        <f>J49*(1+J$5)</f>
        <v/>
      </c>
      <c r="K50" s="158" t="n"/>
      <c r="L50" s="377">
        <f>SUM(J50:K50)</f>
        <v/>
      </c>
      <c r="M50" s="377">
        <f>I50-L50</f>
        <v/>
      </c>
      <c r="O50" s="51">
        <f>O49+1</f>
        <v/>
      </c>
      <c r="P50" s="350">
        <f>V49</f>
        <v/>
      </c>
      <c r="Q50" s="158">
        <f>M50</f>
        <v/>
      </c>
      <c r="R50" s="158">
        <f>-SUMIF('10_Financial_Goals'!$C$3:$C$12,'YoY Cash Flow'!C50,'10_Financial_Goals'!$H$3:$H$9)</f>
        <v/>
      </c>
      <c r="S50" s="158">
        <f>(P50+Q50/2-R50)*(S$5)</f>
        <v/>
      </c>
      <c r="T50" s="158" t="n"/>
      <c r="U50" s="158" t="n"/>
      <c r="V50" s="377">
        <f>P50+Q50+R50+S50+T50</f>
        <v/>
      </c>
      <c r="W50" s="362" t="n"/>
      <c r="X50" s="350">
        <f>AA49</f>
        <v/>
      </c>
      <c r="Y50" s="158" t="n"/>
      <c r="Z50" s="158">
        <f>X50*Z$5</f>
        <v/>
      </c>
      <c r="AA50" s="377">
        <f>SUM(X50:Z50)</f>
        <v/>
      </c>
      <c r="AB50" s="362" t="n"/>
      <c r="AC50" s="377">
        <f>SUM(V50,AA50)</f>
        <v/>
      </c>
      <c r="AD50" s="485">
        <f>AC50/10^7</f>
        <v/>
      </c>
    </row>
    <row r="51">
      <c r="B51" s="32" t="inlineStr">
        <is>
          <t>Y45</t>
        </is>
      </c>
      <c r="C51" s="51">
        <f>C50+1</f>
        <v/>
      </c>
      <c r="D51" s="257">
        <f>D50+1</f>
        <v/>
      </c>
      <c r="E51" s="158" t="n"/>
      <c r="F51" s="158" t="n"/>
      <c r="G51" s="158">
        <f>G50*(1+G$5)</f>
        <v/>
      </c>
      <c r="H51" s="158">
        <f>H50*(1+H$5)</f>
        <v/>
      </c>
      <c r="I51" s="377">
        <f>SUM(E51:H51)</f>
        <v/>
      </c>
      <c r="J51" s="378">
        <f>J50*(1+J$5)</f>
        <v/>
      </c>
      <c r="K51" s="158" t="n"/>
      <c r="L51" s="377">
        <f>SUM(J51:K51)</f>
        <v/>
      </c>
      <c r="M51" s="377">
        <f>I51-L51</f>
        <v/>
      </c>
      <c r="O51" s="51">
        <f>O50+1</f>
        <v/>
      </c>
      <c r="P51" s="350">
        <f>V50</f>
        <v/>
      </c>
      <c r="Q51" s="158">
        <f>M51</f>
        <v/>
      </c>
      <c r="R51" s="158">
        <f>-SUMIF('10_Financial_Goals'!$C$3:$C$12,'YoY Cash Flow'!C51,'10_Financial_Goals'!$H$3:$H$9)</f>
        <v/>
      </c>
      <c r="S51" s="158">
        <f>(P51+Q51/2-R51)*(S$5)</f>
        <v/>
      </c>
      <c r="T51" s="158" t="n"/>
      <c r="U51" s="158" t="n"/>
      <c r="V51" s="377">
        <f>P51+Q51+R51+S51+T51</f>
        <v/>
      </c>
      <c r="W51" s="362" t="n"/>
      <c r="X51" s="350">
        <f>AA50</f>
        <v/>
      </c>
      <c r="Y51" s="158" t="n"/>
      <c r="Z51" s="158">
        <f>X51*Z$5</f>
        <v/>
      </c>
      <c r="AA51" s="377">
        <f>SUM(X51:Z51)</f>
        <v/>
      </c>
      <c r="AB51" s="362" t="n"/>
      <c r="AC51" s="377">
        <f>SUM(V51,AA51)</f>
        <v/>
      </c>
      <c r="AD51" s="485">
        <f>AC51/10^7</f>
        <v/>
      </c>
    </row>
    <row r="52">
      <c r="B52" s="32" t="inlineStr">
        <is>
          <t>Y46</t>
        </is>
      </c>
      <c r="C52" s="51">
        <f>C51+1</f>
        <v/>
      </c>
      <c r="D52" s="257">
        <f>D51+1</f>
        <v/>
      </c>
      <c r="E52" s="158" t="n"/>
      <c r="F52" s="158" t="n"/>
      <c r="G52" s="158">
        <f>G51*(1+G$5)</f>
        <v/>
      </c>
      <c r="H52" s="158">
        <f>H51*(1+H$5)</f>
        <v/>
      </c>
      <c r="I52" s="377">
        <f>SUM(E52:H52)</f>
        <v/>
      </c>
      <c r="J52" s="378">
        <f>J51*(1+J$5)</f>
        <v/>
      </c>
      <c r="K52" s="158" t="n"/>
      <c r="L52" s="377">
        <f>SUM(J52:K52)</f>
        <v/>
      </c>
      <c r="M52" s="377">
        <f>I52-L52</f>
        <v/>
      </c>
      <c r="O52" s="51">
        <f>O51+1</f>
        <v/>
      </c>
      <c r="P52" s="350">
        <f>V51</f>
        <v/>
      </c>
      <c r="Q52" s="158">
        <f>M52</f>
        <v/>
      </c>
      <c r="R52" s="158">
        <f>-SUMIF('10_Financial_Goals'!$C$3:$C$12,'YoY Cash Flow'!C52,'10_Financial_Goals'!$H$3:$H$9)</f>
        <v/>
      </c>
      <c r="S52" s="158">
        <f>(P52+Q52/2-R52)*(S$5)</f>
        <v/>
      </c>
      <c r="T52" s="158" t="n"/>
      <c r="U52" s="158" t="n"/>
      <c r="V52" s="377">
        <f>P52+Q52+R52+S52+T52</f>
        <v/>
      </c>
      <c r="W52" s="362" t="n"/>
      <c r="X52" s="350">
        <f>AA51</f>
        <v/>
      </c>
      <c r="Y52" s="158" t="n"/>
      <c r="Z52" s="158">
        <f>X52*Z$5</f>
        <v/>
      </c>
      <c r="AA52" s="377">
        <f>SUM(X52:Z52)</f>
        <v/>
      </c>
      <c r="AB52" s="362" t="n"/>
      <c r="AC52" s="377">
        <f>SUM(V52,AA52)</f>
        <v/>
      </c>
      <c r="AD52" s="485">
        <f>AC52/10^7</f>
        <v/>
      </c>
    </row>
    <row r="53">
      <c r="B53" s="32" t="inlineStr">
        <is>
          <t>Y47</t>
        </is>
      </c>
      <c r="C53" s="51">
        <f>C52+1</f>
        <v/>
      </c>
      <c r="D53" s="257">
        <f>D52+1</f>
        <v/>
      </c>
      <c r="E53" s="158" t="n"/>
      <c r="F53" s="158" t="n"/>
      <c r="G53" s="158">
        <f>G52*(1+G$5)</f>
        <v/>
      </c>
      <c r="H53" s="158">
        <f>H52*(1+H$5)</f>
        <v/>
      </c>
      <c r="I53" s="377">
        <f>SUM(E53:H53)</f>
        <v/>
      </c>
      <c r="J53" s="378">
        <f>J52*(1+J$5)</f>
        <v/>
      </c>
      <c r="K53" s="158" t="n"/>
      <c r="L53" s="377">
        <f>SUM(J53:K53)</f>
        <v/>
      </c>
      <c r="M53" s="377">
        <f>I53-L53</f>
        <v/>
      </c>
      <c r="O53" s="51">
        <f>O52+1</f>
        <v/>
      </c>
      <c r="P53" s="350">
        <f>V52</f>
        <v/>
      </c>
      <c r="Q53" s="158">
        <f>M53</f>
        <v/>
      </c>
      <c r="R53" s="158">
        <f>-SUMIF('10_Financial_Goals'!$C$3:$C$12,'YoY Cash Flow'!C53,'10_Financial_Goals'!$H$3:$H$9)</f>
        <v/>
      </c>
      <c r="S53" s="158">
        <f>(P53+Q53/2-R53)*(S$5)</f>
        <v/>
      </c>
      <c r="T53" s="158" t="n"/>
      <c r="U53" s="158" t="n"/>
      <c r="V53" s="377">
        <f>P53+Q53+R53+S53+T53</f>
        <v/>
      </c>
      <c r="W53" s="362" t="n"/>
      <c r="X53" s="350">
        <f>AA52</f>
        <v/>
      </c>
      <c r="Y53" s="158" t="n"/>
      <c r="Z53" s="158">
        <f>X53*Z$5</f>
        <v/>
      </c>
      <c r="AA53" s="377">
        <f>SUM(X53:Z53)</f>
        <v/>
      </c>
      <c r="AB53" s="362" t="n"/>
      <c r="AC53" s="377">
        <f>SUM(V53,AA53)</f>
        <v/>
      </c>
      <c r="AD53" s="485">
        <f>AC53/10^7</f>
        <v/>
      </c>
    </row>
    <row r="54">
      <c r="B54" s="32" t="inlineStr">
        <is>
          <t>Y48</t>
        </is>
      </c>
      <c r="C54" s="51">
        <f>C53+1</f>
        <v/>
      </c>
      <c r="D54" s="257">
        <f>D53+1</f>
        <v/>
      </c>
      <c r="E54" s="158" t="n"/>
      <c r="F54" s="158" t="n"/>
      <c r="G54" s="158">
        <f>G53*(1+G$5)</f>
        <v/>
      </c>
      <c r="H54" s="158">
        <f>H53*(1+H$5)</f>
        <v/>
      </c>
      <c r="I54" s="377">
        <f>SUM(E54:H54)</f>
        <v/>
      </c>
      <c r="J54" s="378">
        <f>J53*(1+J$5)</f>
        <v/>
      </c>
      <c r="K54" s="158" t="n"/>
      <c r="L54" s="377">
        <f>SUM(J54:K54)</f>
        <v/>
      </c>
      <c r="M54" s="377">
        <f>I54-L54</f>
        <v/>
      </c>
      <c r="O54" s="51">
        <f>O53+1</f>
        <v/>
      </c>
      <c r="P54" s="350">
        <f>V53</f>
        <v/>
      </c>
      <c r="Q54" s="158">
        <f>M54</f>
        <v/>
      </c>
      <c r="R54" s="158">
        <f>-SUMIF('10_Financial_Goals'!$C$3:$C$12,'YoY Cash Flow'!C54,'10_Financial_Goals'!$H$3:$H$9)</f>
        <v/>
      </c>
      <c r="S54" s="158">
        <f>(P54+Q54/2-R54)*(S$5)</f>
        <v/>
      </c>
      <c r="T54" s="158" t="n"/>
      <c r="U54" s="158" t="n"/>
      <c r="V54" s="377">
        <f>P54+Q54+R54+S54+T54</f>
        <v/>
      </c>
      <c r="W54" s="362" t="n"/>
      <c r="X54" s="350">
        <f>AA53</f>
        <v/>
      </c>
      <c r="Y54" s="158" t="n"/>
      <c r="Z54" s="158">
        <f>X54*Z$5</f>
        <v/>
      </c>
      <c r="AA54" s="377">
        <f>SUM(X54:Z54)</f>
        <v/>
      </c>
      <c r="AB54" s="362" t="n"/>
      <c r="AC54" s="377">
        <f>SUM(V54,AA54)</f>
        <v/>
      </c>
      <c r="AD54" s="485">
        <f>AC54/10^7</f>
        <v/>
      </c>
    </row>
    <row r="55">
      <c r="B55" s="32" t="inlineStr">
        <is>
          <t>Y49</t>
        </is>
      </c>
      <c r="C55" s="51">
        <f>C54+1</f>
        <v/>
      </c>
      <c r="D55" s="257">
        <f>D54+1</f>
        <v/>
      </c>
      <c r="E55" s="158" t="n"/>
      <c r="F55" s="158" t="n"/>
      <c r="G55" s="158">
        <f>G54*(1+G$5)</f>
        <v/>
      </c>
      <c r="H55" s="158">
        <f>H54*(1+H$5)</f>
        <v/>
      </c>
      <c r="I55" s="377">
        <f>SUM(E55:H55)</f>
        <v/>
      </c>
      <c r="J55" s="378">
        <f>J54*(1+J$5)</f>
        <v/>
      </c>
      <c r="K55" s="158" t="n"/>
      <c r="L55" s="377">
        <f>SUM(J55:K55)</f>
        <v/>
      </c>
      <c r="M55" s="377">
        <f>I55-L55</f>
        <v/>
      </c>
      <c r="O55" s="51">
        <f>O54+1</f>
        <v/>
      </c>
      <c r="P55" s="350">
        <f>V54</f>
        <v/>
      </c>
      <c r="Q55" s="158">
        <f>M55</f>
        <v/>
      </c>
      <c r="R55" s="158">
        <f>-SUMIF('10_Financial_Goals'!$C$3:$C$12,'YoY Cash Flow'!C55,'10_Financial_Goals'!$H$3:$H$9)</f>
        <v/>
      </c>
      <c r="S55" s="158">
        <f>(P55+Q55/2-R55)*(S$5)</f>
        <v/>
      </c>
      <c r="T55" s="158" t="n"/>
      <c r="U55" s="453" t="n"/>
      <c r="V55" s="377">
        <f>P55+Q55+R55+S55+T55</f>
        <v/>
      </c>
      <c r="W55" s="362" t="n"/>
      <c r="X55" s="350">
        <f>AA54</f>
        <v/>
      </c>
      <c r="Y55" s="158" t="n"/>
      <c r="Z55" s="158">
        <f>X55*Z$5</f>
        <v/>
      </c>
      <c r="AA55" s="377">
        <f>SUM(X55:Z55)</f>
        <v/>
      </c>
      <c r="AB55" s="362" t="n"/>
      <c r="AC55" s="377">
        <f>SUM(V55,AA55)</f>
        <v/>
      </c>
      <c r="AD55" s="485">
        <f>AC55/10^7</f>
        <v/>
      </c>
    </row>
    <row r="56">
      <c r="B56" s="32" t="inlineStr">
        <is>
          <t>Y50</t>
        </is>
      </c>
      <c r="C56" s="51">
        <f>C55+1</f>
        <v/>
      </c>
      <c r="D56" s="257">
        <f>D55+1</f>
        <v/>
      </c>
      <c r="E56" s="158" t="n"/>
      <c r="F56" s="158" t="n"/>
      <c r="G56" s="158">
        <f>G55*(1+G$5)</f>
        <v/>
      </c>
      <c r="H56" s="158">
        <f>H55*(1+H$5)</f>
        <v/>
      </c>
      <c r="I56" s="377">
        <f>SUM(E56:H56)</f>
        <v/>
      </c>
      <c r="J56" s="378">
        <f>J55*(1+J$5)</f>
        <v/>
      </c>
      <c r="K56" s="158" t="n"/>
      <c r="L56" s="377">
        <f>SUM(J56:K56)</f>
        <v/>
      </c>
      <c r="M56" s="377">
        <f>I56-L56</f>
        <v/>
      </c>
      <c r="O56" s="51">
        <f>O55+1</f>
        <v/>
      </c>
      <c r="P56" s="350">
        <f>V55</f>
        <v/>
      </c>
      <c r="Q56" s="158">
        <f>M56</f>
        <v/>
      </c>
      <c r="R56" s="158">
        <f>-SUMIF('10_Financial_Goals'!$C$3:$C$12,'YoY Cash Flow'!C56,'10_Financial_Goals'!$H$3:$H$9)</f>
        <v/>
      </c>
      <c r="S56" s="158">
        <f>(P56+Q56/2-R56)*(S$5)</f>
        <v/>
      </c>
      <c r="T56" s="158" t="n">
        <v>150000000</v>
      </c>
      <c r="U56" s="453" t="inlineStr">
        <is>
          <t xml:space="preserve">Balance sale consideration after closure of reverse mortgage </t>
        </is>
      </c>
      <c r="V56" s="377">
        <f>P56+Q56+R56+S56+T56</f>
        <v/>
      </c>
      <c r="W56" s="362" t="n"/>
      <c r="X56" s="350">
        <f>AA55</f>
        <v/>
      </c>
      <c r="Y56" s="158" t="n">
        <v>-200000000</v>
      </c>
      <c r="Z56" s="158">
        <f>X56*Z$5</f>
        <v/>
      </c>
      <c r="AA56" s="377">
        <f>SUM(X56:Z56)</f>
        <v/>
      </c>
      <c r="AB56" s="362" t="n"/>
      <c r="AC56" s="377">
        <f>SUM(V56,AA56)</f>
        <v/>
      </c>
      <c r="AD56" s="485">
        <f>AC56/10^7</f>
        <v/>
      </c>
    </row>
    <row r="57">
      <c r="B57" s="22" t="n"/>
      <c r="D57" s="152" t="n"/>
      <c r="E57" s="362" t="n"/>
      <c r="F57" s="362" t="n"/>
      <c r="G57" s="362" t="n"/>
      <c r="H57" s="362" t="n"/>
      <c r="I57" s="361" t="n"/>
      <c r="J57" s="362" t="n"/>
      <c r="K57" s="362" t="n"/>
      <c r="L57" s="362" t="n"/>
      <c r="M57" s="362" t="n"/>
      <c r="P57" s="362" t="n"/>
      <c r="Q57" s="153" t="n"/>
      <c r="R57" s="362" t="n"/>
      <c r="S57" s="487" t="n"/>
      <c r="V57" s="363" t="n"/>
      <c r="X57" s="362" t="n"/>
      <c r="Y57" s="362" t="n"/>
      <c r="Z57" s="362" t="n"/>
      <c r="AA57" s="361" t="n"/>
      <c r="AC57" s="363" t="n"/>
    </row>
    <row r="58">
      <c r="B58" s="22" t="n"/>
      <c r="D58" s="152" t="n"/>
      <c r="E58" s="362" t="n"/>
      <c r="F58" s="362" t="n"/>
      <c r="G58" s="362" t="n"/>
      <c r="H58" s="362" t="n"/>
      <c r="I58" s="361" t="n"/>
      <c r="J58" s="362" t="n"/>
      <c r="K58" s="362" t="n"/>
      <c r="L58" s="362" t="n"/>
      <c r="M58" s="362" t="n"/>
      <c r="P58" s="362" t="n"/>
      <c r="Q58" s="153" t="n"/>
      <c r="R58" s="362" t="n"/>
      <c r="S58" s="487" t="n"/>
      <c r="V58" s="363" t="n"/>
      <c r="X58" s="362" t="n"/>
      <c r="Y58" s="362" t="n"/>
      <c r="Z58" s="362" t="n"/>
      <c r="AA58" s="361" t="n"/>
      <c r="AC58" s="363" t="n"/>
    </row>
    <row r="59">
      <c r="B59" s="22" t="n"/>
      <c r="D59" s="152" t="n"/>
      <c r="E59" s="362" t="n"/>
      <c r="F59" s="362" t="n"/>
      <c r="G59" s="362" t="n"/>
      <c r="H59" s="362" t="n"/>
      <c r="I59" s="361" t="n"/>
      <c r="J59" s="362" t="n"/>
      <c r="K59" s="362" t="n"/>
      <c r="L59" s="362" t="n"/>
      <c r="M59" s="362" t="n"/>
      <c r="P59" s="362" t="n"/>
      <c r="Q59" s="153" t="n"/>
      <c r="R59" s="362" t="n"/>
      <c r="S59" s="487" t="n"/>
      <c r="V59" s="363" t="n"/>
      <c r="X59" s="362" t="n"/>
      <c r="Y59" s="362" t="n"/>
      <c r="Z59" s="362" t="n"/>
      <c r="AA59" s="361" t="n"/>
      <c r="AC59" s="363" t="n"/>
    </row>
    <row r="60">
      <c r="B60" s="159" t="n"/>
      <c r="C60" s="159" t="n"/>
      <c r="D60" s="159" t="n"/>
      <c r="E60" s="348" t="n"/>
      <c r="F60" s="348" t="n"/>
      <c r="G60" s="348" t="n"/>
      <c r="O60" s="159" t="n"/>
      <c r="X60" s="159" t="n"/>
    </row>
    <row r="61">
      <c r="B61" s="5" t="n"/>
      <c r="C61" s="5" t="n"/>
      <c r="D61" s="5" t="n"/>
      <c r="O61" s="5" t="n"/>
      <c r="X61" s="5" t="n"/>
    </row>
    <row r="62">
      <c r="B62" s="5" t="n"/>
      <c r="C62" s="5" t="n"/>
      <c r="D62" s="5" t="n"/>
      <c r="J62" s="5" t="n"/>
      <c r="K62" s="5" t="n"/>
      <c r="L62" s="5" t="n"/>
      <c r="O62" s="5" t="n"/>
      <c r="Q62" s="5" t="n"/>
      <c r="R62" s="5" t="n"/>
      <c r="S62" s="5" t="n"/>
      <c r="X62" s="5" t="n"/>
    </row>
    <row r="63">
      <c r="J63" s="362" t="n"/>
      <c r="K63" s="362" t="n"/>
      <c r="L63" s="479" t="n"/>
      <c r="Q63" s="362" t="n"/>
      <c r="R63" s="479" t="n"/>
      <c r="S63" s="153" t="n"/>
    </row>
    <row r="64">
      <c r="J64" s="362" t="n"/>
      <c r="K64" s="362" t="n"/>
      <c r="L64" s="479" t="n"/>
      <c r="Q64" s="362" t="n"/>
      <c r="R64" s="479" t="n"/>
      <c r="S64" s="153" t="n"/>
    </row>
    <row r="65">
      <c r="J65" s="362" t="n"/>
      <c r="K65" s="362" t="n"/>
      <c r="L65" s="479" t="n"/>
      <c r="Q65" s="362" t="n"/>
      <c r="R65" s="479" t="n"/>
      <c r="S65" s="153" t="n"/>
    </row>
    <row r="66">
      <c r="J66" s="362" t="n"/>
      <c r="K66" s="362" t="n"/>
      <c r="L66" s="479" t="n"/>
      <c r="Q66" s="362" t="n"/>
      <c r="R66" s="479" t="n"/>
      <c r="S66" s="153" t="n"/>
    </row>
    <row r="67">
      <c r="J67" s="362" t="n"/>
      <c r="K67" s="362" t="n"/>
      <c r="L67" s="479" t="n"/>
      <c r="Q67" s="362" t="n"/>
      <c r="R67" s="479" t="n"/>
      <c r="S67" s="153" t="n"/>
    </row>
    <row r="68">
      <c r="J68" s="362" t="n"/>
      <c r="K68" s="362" t="n"/>
      <c r="L68" s="479" t="n"/>
      <c r="Q68" s="362" t="n"/>
      <c r="R68" s="479" t="n"/>
      <c r="S68" s="153" t="n"/>
    </row>
    <row r="69">
      <c r="J69" s="362" t="n"/>
      <c r="K69" s="362" t="n"/>
      <c r="L69" s="479" t="n"/>
      <c r="Q69" s="362" t="n"/>
      <c r="R69" s="479" t="n"/>
      <c r="S69" s="153" t="n"/>
    </row>
    <row r="70">
      <c r="J70" s="362" t="n"/>
      <c r="K70" s="362" t="n"/>
      <c r="L70" s="479" t="n"/>
      <c r="Q70" s="362" t="n"/>
      <c r="R70" s="479" t="n"/>
      <c r="S70" s="153" t="n"/>
    </row>
    <row r="71">
      <c r="E71" s="160" t="n"/>
      <c r="F71" s="160" t="n"/>
      <c r="G71" s="160" t="n"/>
      <c r="H71" s="160" t="n"/>
      <c r="I71" s="160" t="n"/>
      <c r="J71" s="161" t="n"/>
      <c r="K71" s="161" t="n"/>
      <c r="L71" s="479" t="n"/>
      <c r="P71" s="160" t="n"/>
      <c r="Q71" s="161" t="n"/>
      <c r="R71" s="479" t="n"/>
      <c r="S71" s="153" t="n"/>
    </row>
    <row r="72">
      <c r="B72" s="5" t="n"/>
      <c r="C72" s="5" t="n"/>
      <c r="D72" s="5" t="n"/>
      <c r="E72" s="160" t="n"/>
      <c r="F72" s="160" t="n"/>
      <c r="G72" s="160" t="n"/>
      <c r="H72" s="160" t="n"/>
      <c r="I72" s="160" t="n"/>
      <c r="J72" s="162" t="n"/>
      <c r="K72" s="162" t="n"/>
      <c r="L72" s="479" t="n"/>
      <c r="O72" s="5" t="n"/>
      <c r="P72" s="160" t="n"/>
      <c r="Q72" s="162" t="n"/>
      <c r="R72" s="479" t="n"/>
      <c r="S72" s="162" t="n"/>
      <c r="X72" s="5" t="n"/>
    </row>
    <row r="74">
      <c r="B74" s="5" t="n"/>
      <c r="C74" s="5" t="n"/>
      <c r="D74" s="5" t="n"/>
      <c r="O74" s="5" t="n"/>
      <c r="X74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O77" s="5" t="n"/>
      <c r="P77" s="5" t="n"/>
      <c r="Q77" s="5" t="n"/>
      <c r="X77" s="5" t="n"/>
    </row>
    <row r="80">
      <c r="B80" s="5" t="n"/>
      <c r="C80" s="5" t="n"/>
      <c r="D80" s="5" t="n"/>
      <c r="J80" s="162" t="n"/>
      <c r="K80" s="162" t="n"/>
      <c r="O80" s="5" t="n"/>
      <c r="Q80" s="162" t="n"/>
      <c r="X80" s="5" t="n"/>
    </row>
  </sheetData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A2:S26"/>
  <sheetViews>
    <sheetView showGridLines="0" zoomScale="70" zoomScaleNormal="70" workbookViewId="0">
      <selection activeCell="B7" sqref="B7"/>
    </sheetView>
  </sheetViews>
  <sheetFormatPr baseColWidth="8" defaultRowHeight="17.5"/>
  <cols>
    <col width="8.6640625" customWidth="1" style="286" min="1" max="1"/>
    <col width="24.58203125" customWidth="1" style="286" min="2" max="2"/>
    <col width="8.6640625" customWidth="1" style="286" min="3" max="15"/>
    <col width="8.75" customWidth="1" style="286" min="16" max="16"/>
    <col width="8.6640625" customWidth="1" style="286" min="17" max="17"/>
    <col width="54" bestFit="1" customWidth="1" style="286" min="18" max="18"/>
    <col width="8.9140625" bestFit="1" customWidth="1" style="286" min="19" max="19"/>
    <col width="8.58203125" customWidth="1" style="286" min="20" max="20"/>
    <col width="8.6640625" customWidth="1" style="286" min="21" max="28"/>
    <col width="8.9140625" bestFit="1" customWidth="1" style="286" min="29" max="30"/>
    <col width="8.6640625" customWidth="1" style="286" min="31" max="16384"/>
  </cols>
  <sheetData>
    <row r="2" ht="36" customHeight="1">
      <c r="B2" s="286" t="inlineStr">
        <is>
          <t xml:space="preserve">Debt is not always bad.   </t>
        </is>
      </c>
    </row>
    <row r="3">
      <c r="B3" s="286" t="inlineStr">
        <is>
          <t>We should differentiating loan taken for investments (Real Estate/Stocks etc) vs Consumption .</t>
        </is>
      </c>
    </row>
    <row r="4">
      <c r="B4" s="286" t="inlineStr">
        <is>
          <t xml:space="preserve"> If the IRR of returns from investments done by taking debt is higher than rate of interest debt can prove beneficial</t>
        </is>
      </c>
    </row>
    <row r="5">
      <c r="B5" s="286" t="inlineStr">
        <is>
          <t xml:space="preserve">However debt repayment should nit become burdensome . i.e DSCR should be &gt;1.5 </t>
        </is>
      </c>
    </row>
    <row r="8" ht="18" customHeight="1">
      <c r="B8" s="294" t="inlineStr">
        <is>
          <t>Typical Ratios to evaluate adequacy of debt :</t>
        </is>
      </c>
      <c r="R8" s="293" t="inlineStr">
        <is>
          <t>DSCR = Income Avaibale for debt servicing / EMI :</t>
        </is>
      </c>
      <c r="S8" s="293" t="n"/>
    </row>
    <row r="9">
      <c r="B9" s="289" t="inlineStr">
        <is>
          <t>•debt servicing ratio  (DSCR)</t>
        </is>
      </c>
      <c r="E9" s="292" t="inlineStr">
        <is>
          <t xml:space="preserve">If DSCR is &lt;1.25 , reduce debt </t>
        </is>
      </c>
      <c r="F9" s="292" t="n"/>
      <c r="G9" s="292" t="n"/>
      <c r="H9" s="292" t="n"/>
      <c r="R9" s="293" t="inlineStr">
        <is>
          <t>Net Income</t>
        </is>
      </c>
      <c r="S9" s="293">
        <f>'2_Income'!I30</f>
        <v/>
      </c>
    </row>
    <row r="10">
      <c r="B10" s="289" t="inlineStr">
        <is>
          <t>•debt to income ratio (DTI)</t>
        </is>
      </c>
      <c r="R10" s="293" t="inlineStr">
        <is>
          <t>Expenses without EMI</t>
        </is>
      </c>
      <c r="S10" s="293">
        <f>'3_Expenses '!I26-'3_Expenses '!I23-'3_Expenses '!I24</f>
        <v/>
      </c>
    </row>
    <row r="11" ht="18" customHeight="1">
      <c r="B11" s="289" t="inlineStr">
        <is>
          <t>•debt to net worth ratio (DNI)</t>
        </is>
      </c>
      <c r="R11" s="295" t="inlineStr">
        <is>
          <t>Income Availabe for debt service</t>
        </is>
      </c>
      <c r="S11" s="295">
        <f>S9-S10</f>
        <v/>
      </c>
    </row>
    <row r="12">
      <c r="R12" s="293" t="n"/>
      <c r="S12" s="293" t="n"/>
    </row>
    <row r="13" ht="18" customHeight="1">
      <c r="B13" s="290" t="inlineStr">
        <is>
          <t>Strategies to reduce debt faster</t>
        </is>
      </c>
      <c r="R13" s="295" t="inlineStr">
        <is>
          <t>EMI</t>
        </is>
      </c>
      <c r="S13" s="295">
        <f>'3_Expenses '!I23</f>
        <v/>
      </c>
    </row>
    <row r="14">
      <c r="B14" s="287" t="inlineStr">
        <is>
          <t xml:space="preserve">Avalanche (High rate loans first) </t>
        </is>
      </c>
      <c r="E14" s="292" t="inlineStr">
        <is>
          <t>Suggest people reduce high interest bearing first like credit card debt followed by personal loan etc</t>
        </is>
      </c>
      <c r="F14" s="292" t="n"/>
      <c r="G14" s="292" t="n"/>
      <c r="H14" s="292" t="n"/>
      <c r="R14" s="293" t="inlineStr">
        <is>
          <t>DSCR</t>
        </is>
      </c>
      <c r="S14" s="293">
        <f>S11/S13</f>
        <v/>
      </c>
    </row>
    <row r="15">
      <c r="B15" s="287" t="inlineStr">
        <is>
          <t xml:space="preserve">Snowball (Small loans first) </t>
        </is>
      </c>
    </row>
    <row r="16">
      <c r="B16" s="287" t="inlineStr">
        <is>
          <t xml:space="preserve">Blizzard (First Snowball, then Alavanche) </t>
        </is>
      </c>
    </row>
    <row r="18" ht="18" customHeight="1">
      <c r="A18" s="284" t="n"/>
      <c r="B18" s="291" t="inlineStr">
        <is>
          <t>Typical repayment sequence (Based on post tax cost of borrowing') :</t>
        </is>
      </c>
      <c r="C18" s="292" t="n"/>
      <c r="D18" s="292" t="n"/>
      <c r="E18" s="292" t="n"/>
      <c r="F18" s="292" t="n"/>
      <c r="G18" s="292" t="n"/>
      <c r="H18" s="292" t="n"/>
      <c r="I18" s="292" t="n"/>
      <c r="J18" s="292" t="n"/>
      <c r="K18" s="292" t="n"/>
      <c r="L18" s="292" t="n"/>
      <c r="M18" s="292" t="n"/>
      <c r="N18" s="292" t="n"/>
      <c r="O18" s="292" t="n"/>
      <c r="P18" s="292" t="n"/>
      <c r="Q18" s="292" t="n"/>
    </row>
    <row r="19" ht="18" customHeight="1">
      <c r="B19" s="285" t="inlineStr">
        <is>
          <t>Unsecured</t>
        </is>
      </c>
      <c r="C19" s="287" t="inlineStr">
        <is>
          <t>Credit card debt</t>
        </is>
      </c>
    </row>
    <row r="20" ht="18" customHeight="1">
      <c r="B20" s="285" t="n"/>
      <c r="D20" s="288" t="inlineStr">
        <is>
          <t xml:space="preserve">Private Loans/ P2P Loans( Loans from friends and family) </t>
        </is>
      </c>
    </row>
    <row r="21">
      <c r="D21" s="288" t="inlineStr">
        <is>
          <t>Personal loan</t>
        </is>
      </c>
    </row>
    <row r="22" ht="18" customHeight="1">
      <c r="B22" s="285" t="inlineStr">
        <is>
          <t>Secured</t>
        </is>
      </c>
      <c r="D22" s="288" t="inlineStr">
        <is>
          <t>Loan against securities, gold, property etc</t>
        </is>
      </c>
    </row>
    <row r="23">
      <c r="D23" s="288" t="inlineStr">
        <is>
          <t>Business Loan / Cash Credit</t>
        </is>
      </c>
    </row>
    <row r="24">
      <c r="D24" s="288" t="inlineStr">
        <is>
          <t>Vehicle loan</t>
        </is>
      </c>
    </row>
    <row r="25">
      <c r="A25" s="288" t="n"/>
      <c r="D25" s="288" t="inlineStr">
        <is>
          <t>Education Loan</t>
        </is>
      </c>
    </row>
    <row r="26">
      <c r="A26" s="288" t="n"/>
      <c r="D26" s="288" t="inlineStr">
        <is>
          <t>Home Loan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100"/>
  <sheetViews>
    <sheetView topLeftCell="A13" zoomScale="83" zoomScaleNormal="100" workbookViewId="0">
      <selection activeCell="E37" sqref="E37"/>
    </sheetView>
  </sheetViews>
  <sheetFormatPr baseColWidth="8" defaultRowHeight="14"/>
  <cols>
    <col width="15.5" bestFit="1" customWidth="1" min="2" max="2"/>
    <col width="41.9140625" bestFit="1" customWidth="1" min="3" max="3"/>
    <col width="19.83203125" bestFit="1" customWidth="1" min="4" max="4"/>
    <col width="29.75" bestFit="1" customWidth="1" min="5" max="5"/>
    <col width="13.83203125" bestFit="1" customWidth="1" min="6" max="6"/>
    <col width="28.08203125" bestFit="1" customWidth="1" min="7" max="7"/>
  </cols>
  <sheetData>
    <row r="2">
      <c r="B2" s="187" t="inlineStr">
        <is>
          <t>Instrument</t>
        </is>
      </c>
      <c r="C2" s="188" t="inlineStr">
        <is>
          <t>Tax rate</t>
        </is>
      </c>
      <c r="D2" s="188" t="inlineStr">
        <is>
          <t>Holding period</t>
        </is>
      </c>
      <c r="E2" s="188" t="inlineStr">
        <is>
          <t>Exemption / deduction</t>
        </is>
      </c>
      <c r="F2" s="188" t="inlineStr">
        <is>
          <t>Old regime</t>
        </is>
      </c>
      <c r="G2" s="188" t="inlineStr">
        <is>
          <t>New regime</t>
        </is>
      </c>
    </row>
    <row r="3">
      <c r="B3" s="454" t="inlineStr">
        <is>
          <t>Equity &amp; equity MFs</t>
        </is>
      </c>
      <c r="C3" s="190" t="inlineStr">
        <is>
          <t>STCG 20%</t>
        </is>
      </c>
      <c r="D3" s="455" t="inlineStr">
        <is>
          <t>STCG &lt;12 months</t>
        </is>
      </c>
      <c r="E3" s="456" t="inlineStr">
        <is>
          <t>₹1.25L/yr LTCG free</t>
        </is>
      </c>
      <c r="F3" s="455" t="inlineStr">
        <is>
          <t>₹1.25L exemption</t>
        </is>
      </c>
      <c r="G3" s="455" t="inlineStr">
        <is>
          <t>₹1.25L exemption</t>
        </is>
      </c>
    </row>
    <row r="4">
      <c r="C4" s="456" t="inlineStr">
        <is>
          <t>LTCG 12.5%LTCG &gt;₹1.25L taxable</t>
        </is>
      </c>
      <c r="D4" s="455" t="inlineStr">
        <is>
          <t>LTCG ≥12 months</t>
        </is>
      </c>
    </row>
    <row r="5">
      <c r="B5" s="454" t="inlineStr">
        <is>
          <t>Fixed Deposits</t>
        </is>
      </c>
      <c r="C5" s="190" t="inlineStr">
        <is>
          <t>Interest at slab rateTDS @10% if &gt;₹40K/yr</t>
        </is>
      </c>
      <c r="D5" s="455" t="inlineStr">
        <is>
          <t>N/A</t>
        </is>
      </c>
      <c r="E5" s="193" t="inlineStr">
        <is>
          <t>80TTB: ₹50K for senior citizens only</t>
        </is>
      </c>
      <c r="F5" s="455" t="inlineStr">
        <is>
          <t>80TTB ₹50K*</t>
        </is>
      </c>
      <c r="G5" s="455" t="inlineStr">
        <is>
          <t>No deduction</t>
        </is>
      </c>
    </row>
    <row r="6">
      <c r="B6" s="454" t="inlineStr">
        <is>
          <t>Bonds</t>
        </is>
      </c>
      <c r="C6" s="190" t="inlineStr">
        <is>
          <t>Interest: slab rate</t>
        </is>
      </c>
      <c r="D6" s="455" t="inlineStr">
        <is>
          <t>LTCG ≥12 months (listed)</t>
        </is>
      </c>
      <c r="E6" s="455" t="inlineStr">
        <is>
          <t>54EC bonds: LTCG exempt up to ₹50L</t>
        </is>
      </c>
      <c r="F6" s="455" t="inlineStr">
        <is>
          <t>54EC benefit</t>
        </is>
      </c>
      <c r="G6" s="455" t="inlineStr">
        <is>
          <t>No 54EC benefit</t>
        </is>
      </c>
    </row>
    <row r="7">
      <c r="C7" s="456" t="inlineStr">
        <is>
          <t>LTCG 12.5%</t>
        </is>
      </c>
    </row>
    <row r="8">
      <c r="C8" s="190" t="inlineStr">
        <is>
          <t>STCG: slab rate</t>
        </is>
      </c>
    </row>
    <row r="9">
      <c r="B9" s="454" t="inlineStr">
        <is>
          <t>ULIP</t>
        </is>
      </c>
      <c r="C9" s="456" t="inlineStr">
        <is>
          <t>Tax-free maturity**Premium ≤₹2.5L/yr; else LTCG 10%</t>
        </is>
      </c>
      <c r="D9" s="455" t="inlineStr">
        <is>
          <t>Lock-in 5 years</t>
        </is>
      </c>
      <c r="E9" s="455" t="inlineStr">
        <is>
          <t>80C up to ₹1.5L</t>
        </is>
      </c>
      <c r="F9" s="455" t="inlineStr">
        <is>
          <t>80C + 10(10D)</t>
        </is>
      </c>
      <c r="G9" s="455" t="inlineStr">
        <is>
          <t>10(10D) onlyNo 80C</t>
        </is>
      </c>
    </row>
    <row r="10">
      <c r="E10" s="193" t="inlineStr">
        <is>
          <t>10(10D) exemption on maturity</t>
        </is>
      </c>
    </row>
    <row r="11">
      <c r="B11" s="454" t="inlineStr">
        <is>
          <t>NSC</t>
        </is>
      </c>
      <c r="C11" s="190" t="inlineStr">
        <is>
          <t>Interest: slab rateAccrued interest qualifies for 80C</t>
        </is>
      </c>
      <c r="D11" s="455" t="inlineStr">
        <is>
          <t>5 years (lock-in)</t>
        </is>
      </c>
      <c r="E11" s="455" t="inlineStr">
        <is>
          <t>80C up to ₹1.5L</t>
        </is>
      </c>
      <c r="F11" s="455" t="inlineStr">
        <is>
          <t>80C benefit</t>
        </is>
      </c>
      <c r="G11" s="455" t="inlineStr">
        <is>
          <t>No 80C</t>
        </is>
      </c>
    </row>
    <row r="12">
      <c r="B12" s="454" t="inlineStr">
        <is>
          <t>PPF</t>
        </is>
      </c>
      <c r="C12" s="456" t="inlineStr">
        <is>
          <t>EEE — fully tax-free</t>
        </is>
      </c>
      <c r="D12" s="455" t="inlineStr">
        <is>
          <t>15 years (lock-in)</t>
        </is>
      </c>
      <c r="E12" s="455" t="inlineStr">
        <is>
          <t>80C up to ₹1.5L</t>
        </is>
      </c>
      <c r="F12" s="455" t="inlineStr">
        <is>
          <t>80C + EEE</t>
        </is>
      </c>
      <c r="G12" s="455" t="inlineStr">
        <is>
          <t>EEE retainedNo 80C deduction</t>
        </is>
      </c>
    </row>
    <row r="13">
      <c r="E13" s="193" t="inlineStr">
        <is>
          <t>Interest u/s 10(11) exempt</t>
        </is>
      </c>
    </row>
    <row r="14">
      <c r="B14" s="454" t="inlineStr">
        <is>
          <t>EPF</t>
        </is>
      </c>
      <c r="C14" s="456" t="inlineStr">
        <is>
          <t>EEE — fully tax-free</t>
        </is>
      </c>
      <c r="D14" s="455" t="inlineStr">
        <is>
          <t>15 years (lock-in)</t>
        </is>
      </c>
      <c r="E14" s="455" t="inlineStr">
        <is>
          <t>80C up to ₹1.5L</t>
        </is>
      </c>
      <c r="F14" s="455" t="inlineStr">
        <is>
          <t>80C + EEE</t>
        </is>
      </c>
      <c r="G14" s="455" t="inlineStr">
        <is>
          <t>EEE retainedNo 80C deduction</t>
        </is>
      </c>
    </row>
    <row r="15">
      <c r="E15" s="193" t="inlineStr">
        <is>
          <t>Interest u/s 10(11) exempt</t>
        </is>
      </c>
    </row>
    <row r="16">
      <c r="B16" s="454" t="inlineStr">
        <is>
          <t>NPS</t>
        </is>
      </c>
      <c r="C16" s="456" t="inlineStr">
        <is>
          <t>60% lump sum tax-free</t>
        </is>
      </c>
      <c r="D16" s="455" t="inlineStr">
        <is>
          <t>Till retirement (60 yrs)</t>
        </is>
      </c>
      <c r="E16" s="455" t="inlineStr">
        <is>
          <t>80C ₹1.5L + 80CCD(1B) ₹50K</t>
        </is>
      </c>
      <c r="F16" s="455" t="inlineStr">
        <is>
          <t>80C + extra ₹50K</t>
        </is>
      </c>
      <c r="G16" s="455" t="inlineStr">
        <is>
          <t>Only 80CCD(2)Employer contrib only</t>
        </is>
      </c>
    </row>
    <row r="17">
      <c r="C17" s="190" t="inlineStr">
        <is>
          <t>40% annuity: slab rate</t>
        </is>
      </c>
      <c r="E17" s="193" t="inlineStr">
        <is>
          <t>80CCD(2) employer: both regimes</t>
        </is>
      </c>
    </row>
    <row r="20">
      <c r="C20" s="296" t="inlineStr">
        <is>
          <t>For disinvstments, to spend/invest for goals : Go with following sequence</t>
        </is>
      </c>
    </row>
    <row r="21">
      <c r="C21" s="22" t="inlineStr">
        <is>
          <t>Equity tagged as weak performer</t>
        </is>
      </c>
    </row>
    <row r="22">
      <c r="C22">
        <f>B5</f>
        <v/>
      </c>
    </row>
    <row r="23">
      <c r="C23">
        <f>B6</f>
        <v/>
      </c>
    </row>
    <row r="24">
      <c r="C24" s="22" t="inlineStr">
        <is>
          <t>Equity tagged as neutral performer</t>
        </is>
      </c>
    </row>
    <row r="25">
      <c r="C25">
        <f>B9</f>
        <v/>
      </c>
    </row>
    <row r="26">
      <c r="C26">
        <f>B11</f>
        <v/>
      </c>
    </row>
    <row r="27">
      <c r="C27">
        <f>B12</f>
        <v/>
      </c>
    </row>
    <row r="28">
      <c r="C28">
        <f>B14</f>
        <v/>
      </c>
    </row>
    <row r="30" ht="15.5" customHeight="1">
      <c r="C30" s="65" t="n"/>
      <c r="D30" s="297" t="n"/>
      <c r="E30" s="298" t="n"/>
    </row>
    <row r="31" ht="15.5" customHeight="1">
      <c r="C31" s="296" t="inlineStr">
        <is>
          <t>Selection of tax regime (Old regime vs new regime) for tax filing FY 25-26</t>
        </is>
      </c>
      <c r="D31" s="297" t="n"/>
      <c r="E31" s="298" t="n"/>
    </row>
    <row r="32" ht="15.5" customHeight="1">
      <c r="C32" s="242" t="inlineStr">
        <is>
          <t>1. Compute tax under both regimes and choose regime with lower tax burden</t>
        </is>
      </c>
      <c r="D32" s="299" t="n"/>
      <c r="E32" s="298" t="n"/>
    </row>
    <row r="33" ht="15.5" customHeight="1">
      <c r="C33" s="242" t="inlineStr">
        <is>
          <t>2. If total deductions are limited, the new regime is usually preferable.</t>
        </is>
      </c>
      <c r="D33" s="298" t="n"/>
      <c r="E33" s="298" t="n"/>
    </row>
    <row r="34" ht="15.5" customHeight="1">
      <c r="C34" s="242" t="inlineStr">
        <is>
          <t xml:space="preserve">3. Salaried taxpayers can have nil tax up to ₹12.75 lakh income under the new regime (subject to applicable conditions). </t>
        </is>
      </c>
      <c r="D34" s="300" t="n"/>
      <c r="E34" s="298" t="n"/>
    </row>
    <row r="35" ht="15.5" customHeight="1">
      <c r="C35" s="242" t="inlineStr">
        <is>
          <t>4. Old regime generally becomes beneficial when deductions exceed approximately ₹4–5 lakh through a combination of:</t>
        </is>
      </c>
      <c r="D35" s="298" t="n"/>
      <c r="E35" s="298" t="n"/>
    </row>
    <row r="36" ht="15.5" customHeight="1">
      <c r="C36" s="244" t="inlineStr">
        <is>
          <t>Section 80C: ₹1.5 lakh</t>
        </is>
      </c>
      <c r="D36" s="301" t="n"/>
      <c r="E36" s="298" t="n"/>
    </row>
    <row r="37" ht="15.5" customHeight="1">
      <c r="C37" s="244" t="inlineStr">
        <is>
          <t>Section 80CCD(1B) NPS: ₹0.5 lakh</t>
        </is>
      </c>
      <c r="D37" s="302" t="n"/>
      <c r="E37" s="298" t="n"/>
    </row>
    <row r="38" ht="15.5" customHeight="1">
      <c r="C38" s="244" t="inlineStr">
        <is>
          <t>Section 80D: ₹25,000–₹75,000</t>
        </is>
      </c>
      <c r="D38" s="302" t="n"/>
      <c r="E38" s="298" t="n"/>
    </row>
    <row r="39" ht="15.5" customHeight="1">
      <c r="C39" s="244" t="inlineStr">
        <is>
          <t>Home-loan interest: up to ₹2 lakh</t>
        </is>
      </c>
      <c r="D39" s="302" t="n"/>
      <c r="E39" s="298" t="n"/>
    </row>
    <row r="40">
      <c r="C40" s="244" t="inlineStr">
        <is>
          <t>HRA exemption</t>
        </is>
      </c>
    </row>
    <row r="41">
      <c r="C41" s="244" t="inlineStr">
        <is>
          <t>Other eligible deductions/exemptions</t>
        </is>
      </c>
      <c r="D41" s="22" t="n"/>
    </row>
    <row r="42">
      <c r="D42" s="22" t="n"/>
    </row>
    <row r="44" ht="17.5" customHeight="1">
      <c r="C44" s="304" t="inlineStr">
        <is>
          <t>Capital Gains Tax Planning Strategies</t>
        </is>
      </c>
    </row>
    <row r="45">
      <c r="C45" s="241" t="n"/>
    </row>
    <row r="46">
      <c r="C46" s="242" t="inlineStr">
        <is>
          <t>1. Tax Harvesting</t>
        </is>
      </c>
    </row>
    <row r="47">
      <c r="C47" s="242" t="inlineStr">
        <is>
          <t>2. Tax Loss Harvesting</t>
        </is>
      </c>
    </row>
    <row r="48">
      <c r="C48" s="242" t="inlineStr">
        <is>
          <t>3. Set-off and Carry Forward of Capital Losses</t>
        </is>
      </c>
    </row>
    <row r="49">
      <c r="C49" s="242" t="inlineStr">
        <is>
          <t>4. Convert Short-Term Gains into Long-Term Gains Where Feasible</t>
        </is>
      </c>
    </row>
    <row r="50">
      <c r="C50" s="242" t="inlineStr">
        <is>
          <t>5. Getting More "Indexation Benefits" - Review Grandfathering and Special Tax Provisions for Real Estate</t>
        </is>
      </c>
    </row>
    <row r="51">
      <c r="C51" s="242" t="inlineStr">
        <is>
          <t>6. Optimize Long Term Capital Gains Exemptions (Sections 54, 54F, 54EC)</t>
        </is>
      </c>
    </row>
    <row r="52">
      <c r="C52" s="242" t="inlineStr">
        <is>
          <t>7. Choosing Appropriate Asset Class Based on Post-Tax Returns</t>
        </is>
      </c>
    </row>
    <row r="53">
      <c r="C53" s="242" t="n"/>
    </row>
    <row r="54" ht="17.5" customHeight="1">
      <c r="C54" s="239" t="inlineStr">
        <is>
          <t>1. Tax Harvesting</t>
        </is>
      </c>
    </row>
    <row r="56">
      <c r="C56" s="242" t="inlineStr">
        <is>
          <t>Realize long-term capital gains periodically to utilize available exemptions and lower tax rates.</t>
        </is>
      </c>
    </row>
    <row r="57">
      <c r="C57" s="241" t="inlineStr">
        <is>
          <t>For listed equity/equity mutual funds, manage gains around the annual LTCG exemption threshold (currently ₹1.25 lakh)</t>
        </is>
      </c>
    </row>
    <row r="59" ht="17.5" customHeight="1">
      <c r="C59" s="239" t="inlineStr">
        <is>
          <t>2. Loss Harvesting</t>
        </is>
      </c>
    </row>
    <row r="60">
      <c r="C60" s="242" t="inlineStr">
        <is>
          <t>Realize capital losses to offset capital gains.</t>
        </is>
      </c>
    </row>
    <row r="61">
      <c r="C61" s="242" t="inlineStr">
        <is>
          <t>Carry forward unabsorbed capital losses for up to 8 assessment years (subject to timely return filing).</t>
        </is>
      </c>
    </row>
    <row r="62">
      <c r="C62" s="242" t="n"/>
    </row>
    <row r="63">
      <c r="C63" s="242" t="inlineStr">
        <is>
          <t>Review portfolio near financial year-end to identify tax-loss harvesting opportunities.</t>
        </is>
      </c>
    </row>
    <row r="64">
      <c r="C64" s="22" t="inlineStr">
        <is>
          <t>This remains one of the most practical tax-planning tools for investors.</t>
        </is>
      </c>
    </row>
    <row r="66" ht="17.5" customHeight="1">
      <c r="C66" s="239" t="inlineStr">
        <is>
          <t xml:space="preserve">3. 3. Set-off and Carry Forward of Capital Losses </t>
        </is>
      </c>
    </row>
    <row r="67">
      <c r="C67" s="242" t="inlineStr">
        <is>
          <t>STCL can be set off against both STCG and LTCG.</t>
        </is>
      </c>
    </row>
    <row r="68">
      <c r="C68" s="242" t="inlineStr">
        <is>
          <t>LTCL can be set off only against LTCG.</t>
        </is>
      </c>
    </row>
    <row r="69">
      <c r="C69" s="241" t="n"/>
    </row>
    <row r="70">
      <c r="C70" s="242" t="inlineStr">
        <is>
          <t>Unutilized losses can be carried forward for 8 years.</t>
        </is>
      </c>
    </row>
    <row r="71">
      <c r="C71" s="22" t="inlineStr">
        <is>
          <t>This is more precise than simply saying "Using C/L Loss".</t>
        </is>
      </c>
    </row>
    <row r="73" ht="17.5" customHeight="1">
      <c r="C73" s="239" t="inlineStr">
        <is>
          <t>4. Convert Short-Term Gains to Long-Term Gains</t>
        </is>
      </c>
    </row>
    <row r="75">
      <c r="C75" s="242" t="inlineStr">
        <is>
          <t>Evaluate whether deferring a sale can qualify the asset for LTCG treatment.</t>
        </is>
      </c>
    </row>
    <row r="76">
      <c r="C76" s="242" t="inlineStr">
        <is>
          <t>Different asset classes have different holding periods.</t>
        </is>
      </c>
    </row>
    <row r="77">
      <c r="C77" s="242" t="n"/>
    </row>
    <row r="78">
      <c r="C78" s="242" t="inlineStr">
        <is>
          <t>LTCG rates are generally lower than STCG rates for many asset classes.</t>
        </is>
      </c>
    </row>
    <row r="79">
      <c r="C79" s="22" t="inlineStr">
        <is>
          <t>This remains a valid planning strategy.</t>
        </is>
      </c>
    </row>
    <row r="81" ht="17.5" customHeight="1">
      <c r="C81" s="239" t="inlineStr">
        <is>
          <t>5. Getting More "Indexation Benefits" - Review Grandfathering and Special Tax Provisions for Real Estate</t>
        </is>
      </c>
    </row>
    <row r="82">
      <c r="C82" s="65" t="inlineStr">
        <is>
          <t>"Evaluating Grandfathered Property Tax Options"</t>
        </is>
      </c>
    </row>
    <row r="83">
      <c r="C83" s="22" t="inlineStr">
        <is>
          <t>For real estate acquired before 23 July 2024, resident individuals may still have a choice between:</t>
        </is>
      </c>
    </row>
    <row r="84">
      <c r="C84" s="242" t="inlineStr">
        <is>
          <t>12.5% tax without indexation, or</t>
        </is>
      </c>
    </row>
    <row r="85">
      <c r="C85" s="242" t="n"/>
    </row>
    <row r="86">
      <c r="C86" s="303" t="inlineStr">
        <is>
          <t>20% tax with indexation if it results in a lower liability</t>
        </is>
      </c>
    </row>
    <row r="87">
      <c r="C87" s="22" t="inlineStr">
        <is>
          <t>Therefore, "getting more indexation benefits" should not be presented as a general tax-planning strategy anymore.</t>
        </is>
      </c>
    </row>
    <row r="89" ht="17.5" customHeight="1">
      <c r="C89" s="239" t="n"/>
    </row>
    <row r="90" ht="17.5" customHeight="1">
      <c r="C90" s="239" t="inlineStr">
        <is>
          <t>6. Optimize Long Term Capital Gains Exemptions (Sections 54, 54F, 54EC)</t>
        </is>
      </c>
    </row>
    <row r="91">
      <c r="C91" s="241" t="n"/>
    </row>
    <row r="92">
      <c r="C92" s="242" t="inlineStr">
        <is>
          <t>1. LTCG from sale of Residential House Property → Invest in another residential house (Sec 54).</t>
        </is>
      </c>
    </row>
    <row r="93">
      <c r="C93" s="242" t="inlineStr">
        <is>
          <t>2. LTCG from sale of Any Long-Term Capital Asset (except residential house) → Invest in a residential house (Sec 54F).</t>
        </is>
      </c>
    </row>
    <row r="94">
      <c r="C94" s="242" t="inlineStr">
        <is>
          <t>3. LTCG from sale of Land/Building → Invest in specified Capital Gain Bonds within 6 months (Sec 54EC).</t>
        </is>
      </c>
    </row>
    <row r="95">
      <c r="C95" s="242" t="inlineStr">
        <is>
          <t>4. Read detailed conditions, timelines, ownership restrictions and exemption limits before claiming benefits.</t>
        </is>
      </c>
    </row>
    <row r="97" ht="17.5" customHeight="1">
      <c r="C97" s="239" t="inlineStr">
        <is>
          <t>7. Choosing Appropriate Asset Class Based on Post-Tax Returns</t>
        </is>
      </c>
    </row>
    <row r="98">
      <c r="C98" s="242" t="inlineStr">
        <is>
          <t>Different asset classes have different holding periods, tax rates, and exemption provisions.</t>
        </is>
      </c>
    </row>
    <row r="99">
      <c r="C99" s="242" t="inlineStr">
        <is>
          <t>Consider post-tax returns rather than pre-tax returns alone.</t>
        </is>
      </c>
    </row>
    <row r="100">
      <c r="C100" s="242" t="inlineStr">
        <is>
          <t>Evaluate tax efficiency of equity, debt, gold, REITs, InvITs, and real estate before investing.</t>
        </is>
      </c>
    </row>
  </sheetData>
  <mergeCells count="28">
    <mergeCell ref="B12:B13"/>
    <mergeCell ref="B3:B4"/>
    <mergeCell ref="F12:F13"/>
    <mergeCell ref="F3:F4"/>
    <mergeCell ref="B14:B15"/>
    <mergeCell ref="C9:C10"/>
    <mergeCell ref="C12:C13"/>
    <mergeCell ref="G3:G4"/>
    <mergeCell ref="D16:D17"/>
    <mergeCell ref="D12:D13"/>
    <mergeCell ref="D6:D8"/>
    <mergeCell ref="G14:G15"/>
    <mergeCell ref="F6:F8"/>
    <mergeCell ref="B9:B10"/>
    <mergeCell ref="D9:D10"/>
    <mergeCell ref="F9:F10"/>
    <mergeCell ref="G16:G17"/>
    <mergeCell ref="D14:D15"/>
    <mergeCell ref="E6:E8"/>
    <mergeCell ref="F14:F15"/>
    <mergeCell ref="G9:G10"/>
    <mergeCell ref="E3:E4"/>
    <mergeCell ref="G12:G13"/>
    <mergeCell ref="G6:G8"/>
    <mergeCell ref="B16:B17"/>
    <mergeCell ref="F16:F17"/>
    <mergeCell ref="C14:C15"/>
    <mergeCell ref="B6:B8"/>
  </mergeCells>
  <hyperlinks>
    <hyperlink xmlns:r="http://schemas.openxmlformats.org/officeDocument/2006/relationships" ref="C57" tooltip="Budget 2024: CA Explains The LTCG, STCG Tax Hike Math ..." display="https://www.youtube.com/watch?v=6UrB76IQvo4&amp;utm_source=chatgpt.com" r:id="rId1"/>
    <hyperlink xmlns:r="http://schemas.openxmlformats.org/officeDocument/2006/relationships" ref="C78" tooltip="FAQs issued by CBDT on the new capital gains tax regime ..." display="https://www.pib.gov.in/PressReleaseIframePage.aspx?PRID=2036604&amp;utm_source=chatgpt.com" r:id="rId2"/>
    <hyperlink xmlns:r="http://schemas.openxmlformats.org/officeDocument/2006/relationships" ref="C86" tooltip="Capital Gain - Income Tax Department" display="https://www.incometaxindia.gov.in/w/capital-gain?utm_source=chatgpt.com" r:id="rId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S139"/>
  <sheetViews>
    <sheetView showGridLines="0" topLeftCell="B1" zoomScale="85" zoomScaleNormal="85" workbookViewId="0">
      <selection activeCell="B7" sqref="B7"/>
    </sheetView>
  </sheetViews>
  <sheetFormatPr baseColWidth="8" defaultRowHeight="14"/>
  <cols>
    <col width="30.6640625" customWidth="1" min="2" max="2"/>
    <col width="17.1640625" customWidth="1" min="3" max="3"/>
    <col width="11.4140625" customWidth="1" min="4" max="4"/>
    <col width="30.83203125" customWidth="1" min="5" max="5"/>
    <col width="21.6640625" customWidth="1" min="6" max="6"/>
    <col width="12.75" bestFit="1" customWidth="1" min="7" max="7"/>
  </cols>
  <sheetData>
    <row r="2" ht="20" customHeight="1">
      <c r="B2" s="237" t="inlineStr">
        <is>
          <t>Computation of Life Innsurance Needs :</t>
        </is>
      </c>
    </row>
    <row r="3" ht="14.5" customHeight="1" thickBot="1"/>
    <row r="4" ht="20.5" customHeight="1" thickBot="1">
      <c r="B4" s="460" t="inlineStr">
        <is>
          <t>Computation of Human Life Value (To replace the income)</t>
        </is>
      </c>
      <c r="C4" s="488" t="n"/>
      <c r="D4" s="488" t="n"/>
      <c r="E4" s="488" t="n"/>
      <c r="F4" s="488" t="n"/>
      <c r="G4" s="201" t="n"/>
      <c r="J4" s="234" t="inlineStr">
        <is>
          <t>Steps in Insurance Planning</t>
        </is>
      </c>
      <c r="K4" s="232" t="n"/>
      <c r="L4" s="232" t="n"/>
      <c r="M4" s="232" t="n"/>
      <c r="N4" s="232" t="n"/>
      <c r="O4" s="232" t="n"/>
    </row>
    <row r="5" ht="14.5" customHeight="1">
      <c r="B5" s="462" t="inlineStr">
        <is>
          <t xml:space="preserve">Please enter value in the white cells: </t>
        </is>
      </c>
      <c r="C5" s="489" t="n"/>
      <c r="D5" s="489" t="n"/>
      <c r="E5" s="489" t="n"/>
      <c r="F5" s="489" t="n"/>
      <c r="G5" s="490" t="inlineStr">
        <is>
          <t>Excel Formula reference</t>
        </is>
      </c>
    </row>
    <row r="6" ht="15" customHeight="1" thickBot="1">
      <c r="B6" s="491" t="n"/>
      <c r="G6" s="492" t="n"/>
      <c r="J6" s="228" t="inlineStr">
        <is>
          <t>a.</t>
        </is>
      </c>
      <c r="K6" s="228" t="inlineStr">
        <is>
          <t>Identify insurance need</t>
        </is>
      </c>
    </row>
    <row r="7" ht="14.5" customHeight="1">
      <c r="B7" s="202" t="n"/>
      <c r="C7" s="203" t="n"/>
      <c r="D7" s="203" t="n"/>
      <c r="E7" s="204" t="inlineStr">
        <is>
          <t>Current annual Income of Insured</t>
        </is>
      </c>
      <c r="F7" s="205">
        <f>298000*12</f>
        <v/>
      </c>
      <c r="G7" s="206" t="inlineStr">
        <is>
          <t>Pmt</t>
        </is>
      </c>
      <c r="J7" s="229" t="inlineStr">
        <is>
          <t xml:space="preserve">•Income replacement needs </t>
        </is>
      </c>
      <c r="K7" s="22" t="n"/>
    </row>
    <row r="8" ht="14.5" customHeight="1">
      <c r="B8" s="202" t="n"/>
      <c r="C8" s="207" t="n"/>
      <c r="D8" s="207" t="n"/>
      <c r="E8" s="208" t="inlineStr">
        <is>
          <t>Proposed Retirement Age</t>
        </is>
      </c>
      <c r="F8" s="209" t="n">
        <v>56</v>
      </c>
      <c r="G8" s="210" t="n"/>
      <c r="H8" s="150" t="n"/>
      <c r="J8" s="229" t="inlineStr">
        <is>
          <t xml:space="preserve">•Income protection needs </t>
        </is>
      </c>
      <c r="K8" s="22" t="n"/>
    </row>
    <row r="9" ht="14.5" customHeight="1">
      <c r="B9" s="202" t="n"/>
      <c r="C9" s="207" t="n"/>
      <c r="D9" s="207" t="n"/>
      <c r="E9" s="208" t="inlineStr">
        <is>
          <t>Current Age</t>
        </is>
      </c>
      <c r="F9" s="211" t="n">
        <v>36</v>
      </c>
      <c r="G9" s="210" t="n"/>
      <c r="H9" s="150" t="n"/>
      <c r="J9" s="229" t="inlineStr">
        <is>
          <t xml:space="preserve">•Asset protection needs </t>
        </is>
      </c>
      <c r="K9" s="22" t="n"/>
    </row>
    <row r="10" ht="14.5" customHeight="1">
      <c r="B10" s="202" t="n"/>
      <c r="C10" s="207" t="n"/>
      <c r="D10" s="207" t="n"/>
      <c r="E10" s="208" t="inlineStr">
        <is>
          <t>Years to Retirement</t>
        </is>
      </c>
      <c r="F10" s="212">
        <f>F8-F9</f>
        <v/>
      </c>
      <c r="G10" s="210" t="inlineStr">
        <is>
          <t>Nper</t>
        </is>
      </c>
      <c r="H10" s="150" t="n"/>
      <c r="J10" s="228" t="inlineStr">
        <is>
          <t>b.</t>
        </is>
      </c>
      <c r="K10" s="228" t="inlineStr">
        <is>
          <t xml:space="preserve">Estimate the amount of insurance coverage required </t>
        </is>
      </c>
    </row>
    <row r="11" ht="14.5" customHeight="1">
      <c r="B11" s="202" t="n"/>
      <c r="C11" s="207" t="n"/>
      <c r="D11" s="207" t="n"/>
      <c r="E11" s="208" t="inlineStr">
        <is>
          <t xml:space="preserve">Interest rate per annum on investments </t>
        </is>
      </c>
      <c r="F11" s="493" t="n">
        <v>0.1</v>
      </c>
      <c r="G11" s="210" t="n"/>
      <c r="H11" s="150" t="n"/>
      <c r="J11" s="228" t="inlineStr">
        <is>
          <t>c.</t>
        </is>
      </c>
      <c r="K11" s="228" t="inlineStr">
        <is>
          <t>Estimate the tenure for which the insurance is required</t>
        </is>
      </c>
    </row>
    <row r="12" ht="14.5" customHeight="1">
      <c r="B12" s="202" t="n"/>
      <c r="C12" s="207" t="n"/>
      <c r="D12" s="207" t="n"/>
      <c r="E12" s="208" t="inlineStr">
        <is>
          <t>Expected Annual Inflation/Rate of income raise per annum</t>
        </is>
      </c>
      <c r="F12" s="493" t="n">
        <v>0.06</v>
      </c>
      <c r="G12" s="210" t="n"/>
      <c r="H12" s="150" t="n"/>
      <c r="J12" s="228" t="inlineStr">
        <is>
          <t>d.</t>
        </is>
      </c>
      <c r="K12" s="228" t="inlineStr">
        <is>
          <t>Identify the most suitable insurance product</t>
        </is>
      </c>
    </row>
    <row r="13" ht="14.5" customHeight="1">
      <c r="B13" s="202" t="n"/>
      <c r="C13" s="207" t="n"/>
      <c r="D13" s="207" t="n"/>
      <c r="E13" s="208" t="inlineStr">
        <is>
          <t>Discounting Rate</t>
        </is>
      </c>
      <c r="F13" s="494">
        <f>(1+F11)/(1+F12)-1</f>
        <v/>
      </c>
      <c r="G13" s="210" t="inlineStr">
        <is>
          <t>Rate</t>
        </is>
      </c>
      <c r="H13" s="150" t="n"/>
      <c r="J13" s="228" t="inlineStr">
        <is>
          <t>e.</t>
        </is>
      </c>
      <c r="K13" s="228" t="inlineStr">
        <is>
          <t>Optimize the insurance premium</t>
        </is>
      </c>
    </row>
    <row r="14" ht="14.5" customHeight="1">
      <c r="B14" s="202" t="n"/>
      <c r="C14" s="207" t="n"/>
      <c r="D14" s="207" t="n"/>
      <c r="E14" s="208" t="inlineStr">
        <is>
          <t>Estimated Human Life Value</t>
        </is>
      </c>
      <c r="F14" s="214">
        <f>PV(F13,F10,-F7,0)</f>
        <v/>
      </c>
      <c r="G14" s="210" t="inlineStr">
        <is>
          <t>PV</t>
        </is>
      </c>
      <c r="H14" s="150" t="n"/>
      <c r="J14" s="228" t="inlineStr">
        <is>
          <t>f.</t>
        </is>
      </c>
      <c r="K14" s="228" t="inlineStr">
        <is>
          <t>Monitor the insurance coverage</t>
        </is>
      </c>
    </row>
    <row r="16" ht="14.5" customHeight="1" thickBot="1"/>
    <row r="17" ht="46.5" customHeight="1" thickBot="1">
      <c r="B17" s="468" t="inlineStr">
        <is>
          <t>Computation of Insurance Cover based on analysis of Need (to Cover spouse's expense during her lifetime and obligations)</t>
        </is>
      </c>
      <c r="C17" s="488" t="n"/>
      <c r="D17" s="488" t="n"/>
      <c r="E17" s="488" t="n"/>
      <c r="F17" s="488" t="n"/>
      <c r="G17" s="201" t="n"/>
      <c r="J17" s="235" t="inlineStr">
        <is>
          <t>STEPS FOR COMPUTING INSURANCE COVERAGE</t>
        </is>
      </c>
      <c r="K17" s="232" t="n"/>
      <c r="L17" s="232" t="n"/>
      <c r="M17" s="232" t="n"/>
      <c r="N17" s="232" t="n"/>
      <c r="O17" s="232" t="n"/>
    </row>
    <row r="18" ht="14.5" customHeight="1">
      <c r="B18" s="462" t="inlineStr">
        <is>
          <t xml:space="preserve">Please enter value in the white cells: </t>
        </is>
      </c>
      <c r="C18" s="489" t="n"/>
      <c r="D18" s="489" t="n"/>
      <c r="E18" s="489" t="n"/>
      <c r="F18" s="489" t="n"/>
      <c r="G18" s="490" t="inlineStr">
        <is>
          <t>Excel Formula reference</t>
        </is>
      </c>
      <c r="J18" s="231" t="inlineStr">
        <is>
          <t>STEP 1: KNOW YOUR FAMILY INCOME/EXPENSES</t>
        </is>
      </c>
    </row>
    <row r="19" ht="16" customHeight="1" thickBot="1">
      <c r="B19" s="491" t="n"/>
      <c r="G19" s="492" t="n"/>
      <c r="J19" s="231" t="inlineStr">
        <is>
          <t>STEP 2: KNOW YOUR FAMILY’S ONE-TIME NEEDS</t>
        </is>
      </c>
    </row>
    <row r="20" ht="15.5" customHeight="1">
      <c r="B20" s="202" t="n"/>
      <c r="C20" s="203" t="n"/>
      <c r="D20" s="203" t="n"/>
      <c r="E20" s="225" t="inlineStr">
        <is>
          <t>Current Mandatory Annual Expense of the family</t>
        </is>
      </c>
      <c r="F20" s="205">
        <f>SUM('3_Expenses '!I6:I24)*12</f>
        <v/>
      </c>
      <c r="G20" s="206" t="inlineStr">
        <is>
          <t>Pmt</t>
        </is>
      </c>
      <c r="J20" s="231" t="inlineStr">
        <is>
          <t>STEP 3: KNOW YOUR ASSETS BASE</t>
        </is>
      </c>
    </row>
    <row r="21" ht="15.5" customHeight="1">
      <c r="B21" s="202" t="n"/>
      <c r="C21" s="207" t="n"/>
      <c r="D21" s="207" t="n"/>
      <c r="E21" s="208" t="inlineStr">
        <is>
          <t>Life Expectancy of spouse (Dependent)</t>
        </is>
      </c>
      <c r="F21" s="209" t="n">
        <v>80</v>
      </c>
      <c r="G21" s="210" t="n"/>
      <c r="H21" s="150" t="n"/>
      <c r="J21" s="231" t="inlineStr">
        <is>
          <t>STEP 4: YOUR CALCULATION</t>
        </is>
      </c>
    </row>
    <row r="22">
      <c r="B22" s="202" t="n"/>
      <c r="C22" s="207" t="n"/>
      <c r="D22" s="207" t="n"/>
      <c r="E22" s="208" t="inlineStr">
        <is>
          <t xml:space="preserve">Current Age of Spouse </t>
        </is>
      </c>
      <c r="F22" s="211" t="n">
        <v>36</v>
      </c>
      <c r="G22" s="210" t="n"/>
      <c r="H22" s="150" t="n"/>
    </row>
    <row r="23" ht="15.5" customHeight="1">
      <c r="B23" s="202" t="n"/>
      <c r="C23" s="207" t="n"/>
      <c r="D23" s="207" t="n"/>
      <c r="E23" s="208" t="inlineStr">
        <is>
          <t>Years to provide for</t>
        </is>
      </c>
      <c r="F23" s="212">
        <f>F21-F22</f>
        <v/>
      </c>
      <c r="G23" s="210" t="inlineStr">
        <is>
          <t>Nper</t>
        </is>
      </c>
      <c r="H23" s="150" t="n"/>
      <c r="J23" s="236" t="inlineStr">
        <is>
          <t>Circumstances when you don’t need insurance</t>
        </is>
      </c>
      <c r="K23" s="232" t="n"/>
      <c r="L23" s="232" t="n"/>
      <c r="M23" s="232" t="n"/>
      <c r="N23" s="232" t="n"/>
      <c r="O23" s="232" t="n"/>
    </row>
    <row r="24">
      <c r="B24" s="202" t="n"/>
      <c r="C24" s="207" t="n"/>
      <c r="D24" s="207" t="n"/>
      <c r="E24" s="208" t="inlineStr">
        <is>
          <t>Expected ROI p.a</t>
        </is>
      </c>
      <c r="F24" s="493" t="n">
        <v>0.1</v>
      </c>
      <c r="G24" s="210" t="n"/>
      <c r="H24" s="150" t="n"/>
      <c r="J24" s="22" t="inlineStr">
        <is>
          <t>1. You don’t have dependants : If you are not married and nobody depends on your income, you don’t need life insurance.</t>
        </is>
      </c>
    </row>
    <row r="25">
      <c r="B25" s="202" t="n"/>
      <c r="C25" s="207" t="n"/>
      <c r="D25" s="207" t="n"/>
      <c r="E25" s="208" t="inlineStr">
        <is>
          <t>Inflation Rate p.a</t>
        </is>
      </c>
      <c r="F25" s="493" t="n">
        <v>0.06</v>
      </c>
      <c r="G25" s="210" t="n"/>
      <c r="H25" s="150" t="n"/>
      <c r="J25" s="22" t="inlineStr">
        <is>
          <t>2. You have enough assets : If you have already built assets that can take care of your family in your absence, there’s no need to spend on life cover.</t>
        </is>
      </c>
    </row>
    <row r="26">
      <c r="B26" s="202" t="n"/>
      <c r="C26" s="207" t="n"/>
      <c r="D26" s="207" t="n"/>
      <c r="E26" s="208" t="inlineStr">
        <is>
          <t>Discounting Rate</t>
        </is>
      </c>
      <c r="F26" s="494">
        <f>(1+F24)/(1+F25)-1</f>
        <v/>
      </c>
      <c r="G26" s="210" t="inlineStr">
        <is>
          <t>Rate</t>
        </is>
      </c>
      <c r="H26" s="150" t="n"/>
      <c r="J26" s="22" t="inlineStr">
        <is>
          <t>3. Your spouse earns well : If your spouse has a good income and can sustain ..</t>
        </is>
      </c>
    </row>
    <row r="27">
      <c r="B27" s="202" t="n"/>
      <c r="C27" s="207" t="n"/>
      <c r="D27" s="207" t="n"/>
      <c r="E27" s="208" t="inlineStr">
        <is>
          <t>Corpus Needed to generate required income</t>
        </is>
      </c>
      <c r="F27" s="214">
        <f>PV(F26,F23,-F20,0)</f>
        <v/>
      </c>
      <c r="G27" s="210" t="inlineStr">
        <is>
          <t>PV</t>
        </is>
      </c>
      <c r="H27" s="150" t="n"/>
      <c r="J27" s="22" t="inlineStr">
        <is>
          <t>4. You have retired : Insurance is meant to replace the income of an individual. So a retired person does not need cover, unless he has liabilities that extend into retirement</t>
        </is>
      </c>
    </row>
    <row r="29" ht="14.5" customHeight="1" thickBot="1"/>
    <row r="30">
      <c r="B30" s="215" t="inlineStr">
        <is>
          <t>Average of both methods</t>
        </is>
      </c>
      <c r="C30" s="216" t="n"/>
      <c r="D30" s="216" t="n"/>
      <c r="E30" s="216" t="n"/>
      <c r="F30" s="217">
        <f>AVERAGE(E31:E32)</f>
        <v/>
      </c>
    </row>
    <row r="31" ht="15.5" customHeight="1">
      <c r="B31" s="218" t="inlineStr">
        <is>
          <t>Insurance Need to replace the income</t>
        </is>
      </c>
      <c r="E31" s="153">
        <f>F14</f>
        <v/>
      </c>
      <c r="F31" s="219" t="n"/>
      <c r="J31" s="235" t="inlineStr">
        <is>
          <t>Five reasons you need to increase insurance cover</t>
        </is>
      </c>
      <c r="K31" s="232" t="n"/>
      <c r="L31" s="232" t="n"/>
      <c r="M31" s="232" t="n"/>
      <c r="N31" s="232" t="n"/>
      <c r="O31" s="232" t="n"/>
    </row>
    <row r="32">
      <c r="B32" s="218" t="inlineStr">
        <is>
          <t>Insurance Need to cover expenses</t>
        </is>
      </c>
      <c r="E32" s="153">
        <f>F27</f>
        <v/>
      </c>
      <c r="F32" s="219" t="n"/>
      <c r="J32" s="22" t="inlineStr">
        <is>
          <t>1. Your parents retire :  Take additional insurance when your dependent parent(s) stop working or their income reduces due to any reason.</t>
        </is>
      </c>
    </row>
    <row r="33">
      <c r="B33" s="202" t="n"/>
      <c r="C33" s="207" t="n"/>
      <c r="D33" s="207" t="n"/>
      <c r="E33" s="208" t="inlineStr">
        <is>
          <t>Loans and Obligations Outstanding</t>
        </is>
      </c>
      <c r="F33" s="220" t="n">
        <v>2000000</v>
      </c>
      <c r="J33" s="22" t="inlineStr">
        <is>
          <t>2. You get married : Even if your spouse works, he or she might be dependent on financial support from you. So increase your cover accordingly.</t>
        </is>
      </c>
    </row>
    <row r="34">
      <c r="B34" s="202" t="n"/>
      <c r="C34" s="207" t="n"/>
      <c r="D34" s="207" t="n"/>
      <c r="E34" s="208" t="inlineStr">
        <is>
          <t>Total Insurance Needed</t>
        </is>
      </c>
      <c r="F34" s="220">
        <f>F30+F33</f>
        <v/>
      </c>
      <c r="J34" s="22" t="inlineStr">
        <is>
          <t>3. You become a parent  ;Your responsibilities shoot up after the ..</t>
        </is>
      </c>
    </row>
    <row r="35" ht="13" customHeight="1">
      <c r="B35" s="202" t="n"/>
      <c r="C35" s="207" t="n"/>
      <c r="D35" s="207" t="n"/>
      <c r="E35" s="208" t="n"/>
      <c r="F35" s="221" t="n"/>
      <c r="J35" s="22" t="inlineStr">
        <is>
          <t>4. You take a big loan : Your family will be in a spot if something happens to you and there’s not enough money to pay the EMIs. Take a cover equal to the loan amount.</t>
        </is>
      </c>
    </row>
    <row r="36">
      <c r="B36" s="202" t="n"/>
      <c r="C36" s="207" t="n"/>
      <c r="D36" s="207" t="n"/>
      <c r="E36" s="208" t="inlineStr">
        <is>
          <t xml:space="preserve">Insurance coverage already in place on life of the earning member </t>
        </is>
      </c>
      <c r="F36" s="220" t="n">
        <v>20000000</v>
      </c>
      <c r="J36" s="22" t="inlineStr">
        <is>
          <t>5. You start a business : If you quit your job, you will need a bigger cover because you might have lost many of the benefits that employees are entitled to in the organised sector.</t>
        </is>
      </c>
    </row>
    <row r="37">
      <c r="B37" s="202" t="n"/>
      <c r="C37" s="207" t="n"/>
      <c r="D37" s="207" t="n"/>
      <c r="E37" s="385" t="inlineStr">
        <is>
          <t xml:space="preserve">Value of Assets Available for disposal </t>
        </is>
      </c>
      <c r="F37" s="220">
        <f>SUM('11. Inc Exp,Networth,Rec Invest'!I42)</f>
        <v/>
      </c>
      <c r="J37" s="22" t="n"/>
    </row>
    <row r="38" ht="14.5" customHeight="1" thickBot="1">
      <c r="B38" s="222" t="n"/>
      <c r="C38" s="223" t="n"/>
      <c r="D38" s="223" t="n"/>
      <c r="E38" s="386" t="inlineStr">
        <is>
          <t xml:space="preserve">Additional Insurance Coverage Recommended </t>
        </is>
      </c>
      <c r="F38" s="224">
        <f>F34-F36-F37</f>
        <v/>
      </c>
    </row>
    <row r="39" ht="16" customHeight="1" thickBot="1">
      <c r="B39" s="495" t="inlineStr">
        <is>
          <t>Conclusion : Rs 3.05 Crore is the additional term insurance value to be purchased</t>
        </is>
      </c>
      <c r="C39" s="496" t="n"/>
      <c r="D39" s="496" t="n"/>
      <c r="E39" s="496" t="n"/>
      <c r="F39" s="497" t="n"/>
    </row>
    <row r="42">
      <c r="B42" s="22" t="inlineStr">
        <is>
          <t xml:space="preserve">Notes : </t>
        </is>
      </c>
    </row>
    <row r="43">
      <c r="B43" s="22" t="inlineStr">
        <is>
          <t xml:space="preserve">In case employer provide insurance cover, the same can be reduced from insurance needs </t>
        </is>
      </c>
    </row>
    <row r="44">
      <c r="B44" s="22" t="n"/>
    </row>
    <row r="46" ht="7.5" customFormat="1" customHeight="1" s="227"/>
    <row r="48" ht="20" customHeight="1">
      <c r="B48" s="237" t="inlineStr">
        <is>
          <t>Computation of Health Insurance Coverage</t>
        </is>
      </c>
    </row>
    <row r="49">
      <c r="B49" s="233" t="inlineStr">
        <is>
          <t xml:space="preserve">Rule of Thumb : Total health cover of family </t>
        </is>
      </c>
      <c r="C49" s="232" t="n"/>
      <c r="D49" s="232" t="n"/>
      <c r="K49" s="248" t="inlineStr">
        <is>
          <t xml:space="preserve">Note : Even if employer is providing health insurance cover, consider taking health insurance cover on your own, as employment may cease, post retirement coverage may cease or reduce </t>
        </is>
      </c>
      <c r="L49" s="65" t="n"/>
      <c r="M49" s="65" t="n"/>
      <c r="N49" s="65" t="n"/>
      <c r="O49" s="65" t="n"/>
    </row>
    <row r="50" ht="14.5" customHeight="1" thickBot="1">
      <c r="B50" s="22" t="inlineStr">
        <is>
          <t xml:space="preserve">Higher of </t>
        </is>
      </c>
    </row>
    <row r="51" ht="20" customHeight="1">
      <c r="B51" s="65" t="inlineStr">
        <is>
          <t>A. 50% of Annual Gross Household Income</t>
        </is>
      </c>
      <c r="F51" s="249" t="inlineStr">
        <is>
          <t>Annual Gross Income</t>
        </is>
      </c>
      <c r="G51" s="250">
        <f>'2_Income'!I12*12</f>
        <v/>
      </c>
      <c r="I51" s="230" t="n"/>
      <c r="K51" s="247" t="inlineStr">
        <is>
          <t xml:space="preserve">A.  Medical Inflation is high and health is priority, hence health insurance is mandatory </t>
        </is>
      </c>
      <c r="L51" s="246" t="n"/>
      <c r="M51" s="246" t="n"/>
      <c r="N51" s="246" t="n"/>
      <c r="O51" s="246" t="n"/>
    </row>
    <row r="52" ht="14.5" customHeight="1" thickBot="1">
      <c r="B52" s="65" t="inlineStr">
        <is>
          <t>Or</t>
        </is>
      </c>
      <c r="F52" s="266" t="inlineStr">
        <is>
          <t xml:space="preserve">Health Insurance Coverage Needed </t>
        </is>
      </c>
      <c r="G52" s="267">
        <f>G51/2</f>
        <v/>
      </c>
      <c r="K52" s="22" t="inlineStr">
        <is>
          <t>Health is wealth, hence body need to be healthy in order to earn and support family . Self</t>
        </is>
      </c>
    </row>
    <row r="53" ht="20" customHeight="1">
      <c r="B53" s="65" t="inlineStr">
        <is>
          <t>B. More specific :</t>
        </is>
      </c>
      <c r="I53" s="230" t="n"/>
      <c r="K53" s="22" t="inlineStr">
        <is>
          <t>Healthcare inflation in India has been running &gt;10% annually. A hospitalization that costs ₹10 lakh today could cost ₹20-25 lakh within the next 7-10 years.</t>
        </is>
      </c>
    </row>
    <row r="54" ht="20" customHeight="1">
      <c r="B54" s="65" t="n"/>
      <c r="F54" s="238" t="n"/>
      <c r="G54" s="153" t="n"/>
      <c r="I54" s="230" t="n"/>
      <c r="K54" s="22" t="n"/>
    </row>
    <row r="55" ht="56" customHeight="1">
      <c r="B55" s="253" t="inlineStr">
        <is>
          <t xml:space="preserve">Family Profile (Metropolitan City) </t>
        </is>
      </c>
      <c r="C55" s="254" t="inlineStr">
        <is>
          <t>Base Cover (Min - Max) in Rs Lakh</t>
        </is>
      </c>
      <c r="D55" s="254" t="inlineStr">
        <is>
          <t>Additional super top-up in Rs Lakh</t>
        </is>
      </c>
      <c r="E55" s="258" t="inlineStr">
        <is>
          <t>Remarks</t>
        </is>
      </c>
      <c r="F55" s="261" t="inlineStr">
        <is>
          <t>Mapping :</t>
        </is>
      </c>
      <c r="G55" s="262" t="n"/>
      <c r="I55" s="230" t="n"/>
    </row>
    <row r="56" ht="23" customHeight="1">
      <c r="B56" s="255" t="inlineStr">
        <is>
          <t>Single young salaried individual</t>
        </is>
      </c>
      <c r="C56" s="256" t="inlineStr">
        <is>
          <t xml:space="preserve">5-15 </t>
        </is>
      </c>
      <c r="D56" s="32" t="n">
        <v>5</v>
      </c>
      <c r="E56" s="259" t="n"/>
      <c r="F56" s="255" t="n"/>
      <c r="G56" s="51" t="n"/>
      <c r="I56" s="230" t="n"/>
      <c r="K56" s="247" t="inlineStr">
        <is>
          <t>Key things to check before buying health insurance</t>
        </is>
      </c>
      <c r="L56" s="246" t="n"/>
      <c r="M56" s="246" t="n"/>
      <c r="N56" s="246" t="n"/>
      <c r="O56" s="246" t="n"/>
      <c r="S56" s="240" t="n"/>
    </row>
    <row r="57" ht="20" customHeight="1">
      <c r="B57" s="255" t="inlineStr">
        <is>
          <t>Married couple (No children)</t>
        </is>
      </c>
      <c r="C57" s="256" t="inlineStr">
        <is>
          <t xml:space="preserve">10-20 </t>
        </is>
      </c>
      <c r="D57" s="32" t="n">
        <v>10</v>
      </c>
      <c r="E57" s="259" t="n"/>
      <c r="F57" s="255" t="n"/>
      <c r="G57" s="51" t="n"/>
      <c r="I57" s="230" t="n"/>
    </row>
    <row r="58" ht="20" customHeight="1">
      <c r="B58" s="255" t="inlineStr">
        <is>
          <t>Family of 3 to 4 (with children)</t>
        </is>
      </c>
      <c r="C58" s="256" t="inlineStr">
        <is>
          <t xml:space="preserve">15-25 </t>
        </is>
      </c>
      <c r="D58" s="32" t="n">
        <v>15</v>
      </c>
      <c r="E58" s="259" t="n"/>
      <c r="F58" s="32" t="inlineStr">
        <is>
          <t>Applicable profile</t>
        </is>
      </c>
      <c r="G58" s="257" t="n">
        <v>3000000</v>
      </c>
      <c r="I58" s="230" t="n"/>
      <c r="K58" s="239" t="inlineStr">
        <is>
          <t>Health Insurance Selection Checklist</t>
        </is>
      </c>
      <c r="S58" s="22" t="n"/>
    </row>
    <row r="59" ht="20" customHeight="1">
      <c r="B59" s="255" t="inlineStr">
        <is>
          <t>HNI / Business owner</t>
        </is>
      </c>
      <c r="C59" s="256" t="inlineStr">
        <is>
          <t xml:space="preserve">20-30 </t>
        </is>
      </c>
      <c r="D59" s="32" t="n">
        <v>20</v>
      </c>
      <c r="E59" s="259" t="n"/>
      <c r="F59" s="51" t="n"/>
      <c r="G59" s="257" t="n"/>
      <c r="I59" s="230" t="n"/>
      <c r="K59" s="241" t="n"/>
      <c r="O59" s="22" t="n"/>
      <c r="S59" s="242" t="n"/>
    </row>
    <row r="60" ht="28" customHeight="1">
      <c r="B60" s="255" t="inlineStr">
        <is>
          <t xml:space="preserve">Senior citizens per individual (Depending on life-style </t>
        </is>
      </c>
      <c r="C60" s="256" t="inlineStr">
        <is>
          <t>10-25</t>
        </is>
      </c>
      <c r="D60" s="32" t="n">
        <v>10</v>
      </c>
      <c r="E60" s="260" t="inlineStr">
        <is>
          <t>Separate policy from young members</t>
        </is>
      </c>
      <c r="F60" s="32" t="inlineStr">
        <is>
          <t xml:space="preserve">Mother </t>
        </is>
      </c>
      <c r="G60" s="257" t="n">
        <v>2000000</v>
      </c>
      <c r="K60" s="245" t="inlineStr">
        <is>
          <t xml:space="preserve">A. Most Important </t>
        </is>
      </c>
      <c r="O60" s="22" t="n"/>
      <c r="S60" s="242" t="n"/>
    </row>
    <row r="61">
      <c r="F61" s="268" t="inlineStr">
        <is>
          <t>Total</t>
        </is>
      </c>
      <c r="G61" s="269">
        <f>SUM(G55:G60)</f>
        <v/>
      </c>
      <c r="K61" s="243" t="inlineStr">
        <is>
          <t>1. Adequate Sum Insured</t>
        </is>
      </c>
      <c r="S61" s="242" t="n"/>
    </row>
    <row r="62" ht="14.5" customHeight="1" thickBot="1">
      <c r="K62" s="244" t="inlineStr">
        <is>
          <t>Prefer ₹20–25 lakh base cover plus super top-up. For urban compabies the same can be 2x of said limits</t>
        </is>
      </c>
      <c r="S62" s="242" t="n"/>
    </row>
    <row r="63">
      <c r="F63" s="263" t="inlineStr">
        <is>
          <t>Health cover needed</t>
        </is>
      </c>
      <c r="G63" s="264">
        <f>MAX(G52,G61)</f>
        <v/>
      </c>
      <c r="H63" s="270" t="inlineStr">
        <is>
          <t xml:space="preserve">Half of this can be super top up to reduce premium burden </t>
        </is>
      </c>
      <c r="K63" s="241" t="n"/>
      <c r="S63" s="242" t="n"/>
    </row>
    <row r="64" ht="28" customHeight="1">
      <c r="F64" s="251" t="inlineStr">
        <is>
          <t>coverage available currently</t>
        </is>
      </c>
      <c r="G64" s="252">
        <f>'9_Insurance_Details'!E5</f>
        <v/>
      </c>
      <c r="K64" s="243" t="inlineStr">
        <is>
          <t>2. Large Hospital Network</t>
        </is>
      </c>
    </row>
    <row r="65" ht="28.5" customHeight="1" thickBot="1">
      <c r="F65" s="265" t="inlineStr">
        <is>
          <t>Additional coverage suggested</t>
        </is>
      </c>
      <c r="G65" s="224">
        <f>G63-G64</f>
        <v/>
      </c>
      <c r="K65" s="244" t="inlineStr">
        <is>
          <t>Ensure major hospitals in your city offer cashless treatment.</t>
        </is>
      </c>
      <c r="S65" s="230" t="n"/>
    </row>
    <row r="66" ht="20" customHeight="1">
      <c r="K66" s="241" t="n"/>
      <c r="S66" s="230" t="n"/>
    </row>
    <row r="67">
      <c r="K67" s="243" t="inlineStr">
        <is>
          <t>3. Claim Settlement &amp; Service Record</t>
        </is>
      </c>
      <c r="S67" s="22" t="n"/>
    </row>
    <row r="68">
      <c r="K68" s="244" t="inlineStr">
        <is>
          <t>Consistent claim settlement performance and hassle-free claim experience.</t>
        </is>
      </c>
    </row>
    <row r="69">
      <c r="K69" s="241" t="n"/>
    </row>
    <row r="70">
      <c r="K70" s="243" t="inlineStr">
        <is>
          <t>4. No Room Rent Cap / Single Private Room Eligibility</t>
        </is>
      </c>
    </row>
    <row r="71">
      <c r="K71" s="244" t="inlineStr">
        <is>
          <t>Avoid policies with room-rent restrictions and proportionate deductions.</t>
        </is>
      </c>
    </row>
    <row r="72">
      <c r="K72" s="241" t="n"/>
    </row>
    <row r="73">
      <c r="K73" s="243" t="inlineStr">
        <is>
          <t>5. No or Low Co-pay Clause</t>
        </is>
      </c>
    </row>
    <row r="74">
      <c r="K74" s="244" t="inlineStr">
        <is>
          <t>Minimize out-of-pocket expenses during hospitalization.</t>
        </is>
      </c>
    </row>
    <row r="75">
      <c r="K75" s="244" t="n"/>
    </row>
    <row r="76">
      <c r="K76" s="245" t="inlineStr">
        <is>
          <t xml:space="preserve">A. Other Factors to check </t>
        </is>
      </c>
    </row>
    <row r="77">
      <c r="K77" s="243" t="inlineStr">
        <is>
          <t>6. Coverage of Pre-existing Diseases &amp; Waiting Period</t>
        </is>
      </c>
    </row>
    <row r="78">
      <c r="K78" s="244" t="inlineStr">
        <is>
          <t>Shorter waiting periods are preferable.</t>
        </is>
      </c>
    </row>
    <row r="79">
      <c r="K79" s="241" t="n"/>
    </row>
    <row r="80">
      <c r="K80" s="243" t="inlineStr">
        <is>
          <t>7. Restoration / Recharge Benefit</t>
        </is>
      </c>
    </row>
    <row r="81">
      <c r="K81" s="244" t="inlineStr">
        <is>
          <t>Automatic reinstatement of sum insured after exhaustion.</t>
        </is>
      </c>
    </row>
    <row r="82">
      <c r="K82" s="241" t="n"/>
    </row>
    <row r="83">
      <c r="K83" s="243" t="inlineStr">
        <is>
          <t>8. Lifetime Renewability</t>
        </is>
      </c>
    </row>
    <row r="84">
      <c r="K84" s="244" t="inlineStr">
        <is>
          <t>Policy should continue without age restrictions.</t>
        </is>
      </c>
    </row>
    <row r="85">
      <c r="K85" s="241" t="n"/>
    </row>
    <row r="86">
      <c r="K86" s="243" t="inlineStr">
        <is>
          <t>9. Availability of Super Top-up Option</t>
        </is>
      </c>
    </row>
    <row r="87">
      <c r="K87" s="244" t="inlineStr">
        <is>
          <t>Cost-effective way to increase overall protection.</t>
        </is>
      </c>
    </row>
    <row r="88">
      <c r="K88" s="241" t="n"/>
    </row>
    <row r="89">
      <c r="K89" s="243" t="inlineStr">
        <is>
          <t>10. Coverage of Modern Treatments</t>
        </is>
      </c>
    </row>
    <row r="90">
      <c r="K90" s="244" t="inlineStr">
        <is>
          <t>Robotic surgery, cancer treatment, advanced cardiac procedures, etc.</t>
        </is>
      </c>
    </row>
    <row r="91">
      <c r="K91" s="241" t="n"/>
    </row>
    <row r="92">
      <c r="K92" s="243" t="inlineStr">
        <is>
          <t>11. Exclusions and Sub-limits</t>
        </is>
      </c>
    </row>
    <row r="93">
      <c r="K93" s="244" t="inlineStr">
        <is>
          <t>Review disease-wise limits, consumables, and permanent exclusions.</t>
        </is>
      </c>
    </row>
    <row r="94">
      <c r="K94" s="241" t="n"/>
    </row>
    <row r="95">
      <c r="K95" s="243" t="inlineStr">
        <is>
          <t>12. Hospitalization Benefits</t>
        </is>
      </c>
    </row>
    <row r="96">
      <c r="K96" s="244" t="inlineStr">
        <is>
          <t>Pre- and post-hospitalization expenses, daycare procedures, domiciliary treatment.</t>
        </is>
      </c>
    </row>
    <row r="97">
      <c r="K97" s="241" t="n"/>
    </row>
    <row r="98">
      <c r="K98" s="243" t="inlineStr">
        <is>
          <t>13. Individual vs Family Floater Suitability</t>
        </is>
      </c>
    </row>
    <row r="99">
      <c r="K99" s="244" t="inlineStr">
        <is>
          <t>Floater for young families; separate policies for senior citizens.</t>
        </is>
      </c>
    </row>
    <row r="100">
      <c r="K100" s="241" t="n"/>
    </row>
    <row r="101">
      <c r="K101" s="243" t="inlineStr">
        <is>
          <t>14. No Claim Bonus (NCB)</t>
        </is>
      </c>
    </row>
    <row r="102">
      <c r="K102" s="244" t="inlineStr">
        <is>
          <t>Additional coverage accumulation for claim-free years.</t>
        </is>
      </c>
    </row>
    <row r="103">
      <c r="K103" s="241" t="n"/>
    </row>
    <row r="104">
      <c r="K104" s="243" t="inlineStr">
        <is>
          <t>15. Wellness Benefits / Annual Health Check-up</t>
        </is>
      </c>
    </row>
    <row r="105">
      <c r="K105" s="244" t="inlineStr">
        <is>
          <t>Nice-to-have, but should not influence the buying decision significantly.</t>
        </is>
      </c>
    </row>
    <row r="129" ht="17.5" customHeight="1">
      <c r="F129" s="239" t="n"/>
    </row>
    <row r="131">
      <c r="F131" s="22" t="n"/>
    </row>
    <row r="133">
      <c r="F133" s="65" t="n"/>
    </row>
    <row r="134">
      <c r="F134" s="65" t="n"/>
    </row>
    <row r="135">
      <c r="F135" s="65" t="n"/>
    </row>
    <row r="136">
      <c r="F136" s="65" t="n"/>
    </row>
    <row r="137">
      <c r="F137" s="65" t="n"/>
    </row>
    <row r="139">
      <c r="F139" s="22" t="n"/>
    </row>
  </sheetData>
  <mergeCells count="7">
    <mergeCell ref="B4:F4"/>
    <mergeCell ref="G5:G6"/>
    <mergeCell ref="B39:F39"/>
    <mergeCell ref="B17:F17"/>
    <mergeCell ref="B5:F6"/>
    <mergeCell ref="G18:G19"/>
    <mergeCell ref="B18:F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B1:L59"/>
  <sheetViews>
    <sheetView showGridLines="0" workbookViewId="0">
      <selection activeCell="E66" sqref="E66"/>
    </sheetView>
  </sheetViews>
  <sheetFormatPr baseColWidth="8" defaultRowHeight="14"/>
  <cols>
    <col width="2.4140625" bestFit="1" customWidth="1" min="3" max="3"/>
    <col width="15.58203125" customWidth="1" min="4" max="4"/>
    <col width="42.83203125" customWidth="1" min="5" max="5"/>
    <col width="9.58203125" bestFit="1" customWidth="1" min="6" max="7"/>
    <col width="9.58203125" customWidth="1" min="8" max="8"/>
    <col width="12.5" bestFit="1" customWidth="1" min="9" max="9"/>
    <col width="22.83203125" customWidth="1" min="10" max="10"/>
    <col width="39.58203125" customWidth="1" min="12" max="12"/>
  </cols>
  <sheetData>
    <row r="1" ht="15.5" customHeight="1">
      <c r="E1" s="116" t="n"/>
    </row>
    <row r="2">
      <c r="E2" s="65" t="inlineStr">
        <is>
          <t xml:space="preserve">Income and Expenses Summary - Monthly </t>
        </is>
      </c>
    </row>
    <row r="3">
      <c r="C3" s="33" t="n"/>
      <c r="D3" s="33" t="n"/>
      <c r="E3" s="34" t="n"/>
      <c r="F3" s="33" t="n"/>
      <c r="G3" s="33" t="n"/>
      <c r="H3" s="33" t="n"/>
      <c r="I3" s="34" t="n"/>
      <c r="J3" s="33" t="n"/>
    </row>
    <row r="4" ht="26" customHeight="1">
      <c r="B4" s="35" t="inlineStr">
        <is>
          <t>Income and Expenses</t>
        </is>
      </c>
      <c r="C4" s="58" t="n"/>
      <c r="D4" s="58" t="n"/>
      <c r="E4" s="58" t="n"/>
      <c r="F4" s="58" t="inlineStr">
        <is>
          <t>Mr. M</t>
        </is>
      </c>
      <c r="G4" s="58" t="inlineStr">
        <is>
          <t>Mrs. M</t>
        </is>
      </c>
      <c r="H4" s="58" t="inlineStr">
        <is>
          <t>Others /Family</t>
        </is>
      </c>
      <c r="I4" s="58" t="inlineStr">
        <is>
          <t>Total</t>
        </is>
      </c>
      <c r="J4" s="58" t="inlineStr">
        <is>
          <t>Optional Remarks/Comments</t>
        </is>
      </c>
    </row>
    <row r="5" ht="15.5" customHeight="1">
      <c r="C5" s="36" t="n"/>
      <c r="D5" s="37" t="n"/>
      <c r="E5" s="38" t="inlineStr">
        <is>
          <t xml:space="preserve">Total Income (NET) </t>
        </is>
      </c>
      <c r="F5" s="45">
        <f>'2_Income'!F30</f>
        <v/>
      </c>
      <c r="G5" s="45">
        <f>'2_Income'!G30</f>
        <v/>
      </c>
      <c r="H5" s="45">
        <f>'2_Income'!H30</f>
        <v/>
      </c>
      <c r="I5" s="45">
        <f>'2_Income'!I30</f>
        <v/>
      </c>
      <c r="J5" s="45" t="n"/>
    </row>
    <row r="6">
      <c r="C6" s="28" t="n"/>
      <c r="D6" s="28" t="n"/>
      <c r="E6" s="28" t="n"/>
      <c r="F6" s="30" t="n"/>
      <c r="G6" s="30" t="n"/>
      <c r="H6" s="30" t="n"/>
      <c r="I6" s="30" t="n"/>
      <c r="J6" s="30" t="n"/>
    </row>
    <row r="7" ht="15.5" customHeight="1">
      <c r="C7" s="36" t="n"/>
      <c r="D7" s="37" t="n"/>
      <c r="E7" s="38" t="inlineStr">
        <is>
          <t xml:space="preserve">Total Expenses </t>
        </is>
      </c>
      <c r="F7" s="45">
        <f>'3_Expenses '!F26</f>
        <v/>
      </c>
      <c r="G7" s="45">
        <f>'3_Expenses '!G26</f>
        <v/>
      </c>
      <c r="H7" s="45">
        <f>'3_Expenses '!H26</f>
        <v/>
      </c>
      <c r="I7" s="45">
        <f>'3_Expenses '!I26</f>
        <v/>
      </c>
      <c r="J7" s="45" t="n"/>
    </row>
    <row r="8">
      <c r="C8" s="51" t="n"/>
      <c r="D8" s="51" t="n"/>
      <c r="E8" s="51" t="n"/>
      <c r="F8" s="51" t="n"/>
      <c r="G8" s="51" t="n"/>
      <c r="H8" s="51" t="n"/>
      <c r="I8" s="51" t="n"/>
      <c r="J8" s="51" t="n"/>
    </row>
    <row r="9" ht="15.5" customHeight="1">
      <c r="C9" s="36" t="n"/>
      <c r="D9" s="37" t="n"/>
      <c r="E9" s="38" t="inlineStr">
        <is>
          <t>Savings I -II</t>
        </is>
      </c>
      <c r="F9" s="45" t="n"/>
      <c r="G9" s="45" t="n"/>
      <c r="H9" s="45" t="n"/>
      <c r="I9" s="45">
        <f>I5-I7</f>
        <v/>
      </c>
      <c r="J9" s="45" t="n"/>
    </row>
    <row r="10" ht="15.5" customHeight="1">
      <c r="C10" s="420" t="n"/>
      <c r="D10" s="421" t="n"/>
      <c r="E10" s="422" t="inlineStr">
        <is>
          <t>Savings ratio</t>
        </is>
      </c>
      <c r="F10" s="421" t="n"/>
      <c r="G10" s="421" t="n"/>
      <c r="H10" s="421" t="n"/>
      <c r="I10" s="498">
        <f>I9/I5</f>
        <v/>
      </c>
      <c r="J10" s="498" t="n"/>
    </row>
    <row r="11" ht="15.5" customFormat="1" customHeight="1" s="429">
      <c r="C11" s="430" t="n"/>
      <c r="D11" s="431" t="n"/>
      <c r="E11" s="432" t="n"/>
      <c r="F11" s="431" t="n"/>
      <c r="G11" s="431" t="n"/>
      <c r="H11" s="431" t="n"/>
      <c r="I11" s="499" t="n"/>
      <c r="J11" s="499" t="n"/>
    </row>
    <row r="12" ht="15.5" customHeight="1">
      <c r="C12" s="47" t="n"/>
      <c r="D12" s="46" t="n"/>
      <c r="E12" s="116" t="n"/>
      <c r="F12" s="46" t="n"/>
      <c r="G12" s="46" t="n"/>
      <c r="H12" s="46" t="n"/>
      <c r="I12" s="500" t="n"/>
      <c r="J12" s="500" t="n"/>
    </row>
    <row r="13" ht="15.5" customHeight="1">
      <c r="C13" s="424" t="n"/>
      <c r="D13" s="425" t="n"/>
      <c r="E13" s="426" t="inlineStr">
        <is>
          <t xml:space="preserve">Investments (Ongoing) </t>
        </is>
      </c>
      <c r="F13" s="427">
        <f>SUM(F14:F18)</f>
        <v/>
      </c>
      <c r="G13" s="427">
        <f>SUM(G14:G18)</f>
        <v/>
      </c>
      <c r="H13" s="427">
        <f>SUM(H14:H18)</f>
        <v/>
      </c>
      <c r="I13" s="427">
        <f>SUM(F13:H13)</f>
        <v/>
      </c>
      <c r="J13" s="427" t="n"/>
    </row>
    <row r="14" ht="31" customHeight="1">
      <c r="C14" s="28" t="n"/>
      <c r="D14" s="28" t="n"/>
      <c r="E14" s="30">
        <f>'5_Recurring_Investments'!B2</f>
        <v/>
      </c>
      <c r="F14" s="30">
        <f>'5_Recurring_Investments'!C2</f>
        <v/>
      </c>
      <c r="G14" s="30" t="n"/>
      <c r="H14" s="30" t="n"/>
      <c r="I14" s="31">
        <f>SUM(F14:H14)</f>
        <v/>
      </c>
      <c r="J14" s="31" t="inlineStr">
        <is>
          <t>Considered for Investment needs</t>
        </is>
      </c>
    </row>
    <row r="15" ht="31" customHeight="1">
      <c r="C15" s="28" t="n"/>
      <c r="D15" s="28" t="n"/>
      <c r="E15" s="30">
        <f>'5_Recurring_Investments'!B3</f>
        <v/>
      </c>
      <c r="F15" s="30">
        <f>'5_Recurring_Investments'!C3</f>
        <v/>
      </c>
      <c r="G15" s="30" t="n"/>
      <c r="H15" s="30" t="n"/>
      <c r="I15" s="31">
        <f>SUM(F15:H15)</f>
        <v/>
      </c>
      <c r="J15" s="31" t="inlineStr">
        <is>
          <t>Considered for Investment needs</t>
        </is>
      </c>
    </row>
    <row r="16" ht="15.5" customHeight="1">
      <c r="C16" s="28" t="n"/>
      <c r="D16" s="28" t="n"/>
      <c r="E16" s="30">
        <f>'5_Recurring_Investments'!B4</f>
        <v/>
      </c>
      <c r="F16" s="30">
        <f>'5_Recurring_Investments'!C4</f>
        <v/>
      </c>
      <c r="G16" s="30" t="n"/>
      <c r="H16" s="30" t="n"/>
      <c r="I16" s="31">
        <f>SUM(F16:H16)</f>
        <v/>
      </c>
      <c r="J16" s="31" t="n"/>
    </row>
    <row r="17" ht="15.5" customHeight="1">
      <c r="C17" s="28" t="n"/>
      <c r="D17" s="28" t="n"/>
      <c r="E17" s="30">
        <f>'5_Recurring_Investments'!B5</f>
        <v/>
      </c>
      <c r="F17" s="30">
        <f>'5_Recurring_Investments'!C5</f>
        <v/>
      </c>
      <c r="G17" s="30" t="n"/>
      <c r="H17" s="30" t="n"/>
      <c r="I17" s="31">
        <f>SUM(F17:H17)</f>
        <v/>
      </c>
      <c r="J17" s="31" t="n"/>
    </row>
    <row r="18" ht="15.5" customHeight="1">
      <c r="C18" s="28" t="n"/>
      <c r="D18" s="28" t="n"/>
      <c r="E18" s="30">
        <f>'5_Recurring_Investments'!B6</f>
        <v/>
      </c>
      <c r="F18" s="30">
        <f>'5_Recurring_Investments'!C6</f>
        <v/>
      </c>
      <c r="G18" s="30" t="n"/>
      <c r="H18" s="30" t="n"/>
      <c r="I18" s="31">
        <f>SUM(F18:H18)</f>
        <v/>
      </c>
      <c r="J18" s="31" t="n"/>
    </row>
    <row r="19" ht="31" customHeight="1">
      <c r="C19" s="28" t="n"/>
      <c r="D19" s="28" t="n"/>
      <c r="E19" s="30">
        <f>'5_Recurring_Investments'!B7</f>
        <v/>
      </c>
      <c r="F19" s="30">
        <f>'5_Recurring_Investments'!C7</f>
        <v/>
      </c>
      <c r="G19" s="30" t="n"/>
      <c r="H19" s="30" t="n"/>
      <c r="I19" s="31">
        <f>SUM(F19:H19)</f>
        <v/>
      </c>
      <c r="J19" s="31" t="inlineStr">
        <is>
          <t>Considered for Investment needs</t>
        </is>
      </c>
    </row>
    <row r="20" ht="15.5" customHeight="1">
      <c r="C20" s="28" t="n"/>
      <c r="D20" s="28" t="n"/>
      <c r="E20" s="30">
        <f>'5_Recurring_Investments'!B8</f>
        <v/>
      </c>
      <c r="F20" s="30" t="n"/>
      <c r="G20" s="30" t="n"/>
      <c r="H20" s="30" t="n"/>
      <c r="I20" s="31" t="n"/>
      <c r="J20" s="31" t="n"/>
    </row>
    <row r="21" ht="15.5" customHeight="1">
      <c r="C21" s="28" t="n"/>
      <c r="D21" s="28" t="n"/>
      <c r="E21" s="30" t="n"/>
      <c r="F21" s="30" t="n"/>
      <c r="G21" s="30" t="n"/>
      <c r="H21" s="30" t="n"/>
      <c r="I21" s="31" t="n"/>
      <c r="J21" s="31" t="n"/>
    </row>
    <row r="22" ht="15.5" customHeight="1">
      <c r="C22" s="53" t="n"/>
      <c r="D22" s="53" t="n"/>
      <c r="E22" s="54" t="inlineStr">
        <is>
          <t>Monthly surplus in hand III - IV</t>
        </is>
      </c>
      <c r="F22" s="53" t="n"/>
      <c r="G22" s="53" t="n"/>
      <c r="H22" s="53" t="n"/>
      <c r="I22" s="55">
        <f>I9-I13</f>
        <v/>
      </c>
      <c r="J22" s="56" t="n"/>
    </row>
    <row r="23" ht="31" customHeight="1">
      <c r="C23" s="28" t="n"/>
      <c r="D23" s="28" t="n"/>
      <c r="E23" s="30" t="inlineStr">
        <is>
          <t xml:space="preserve">EPF (Deduction by Employer) </t>
        </is>
      </c>
      <c r="F23" s="30">
        <f>'2_Income'!I18</f>
        <v/>
      </c>
      <c r="G23" s="30" t="n"/>
      <c r="H23" s="30" t="n"/>
      <c r="I23" s="31">
        <f>F23</f>
        <v/>
      </c>
      <c r="J23" s="31" t="inlineStr">
        <is>
          <t>Considered for Investment needs</t>
        </is>
      </c>
    </row>
    <row r="24"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</row>
    <row r="25" ht="15.5" customHeight="1">
      <c r="C25" s="46" t="n"/>
      <c r="D25" s="46" t="n"/>
      <c r="E25" s="47" t="n"/>
      <c r="F25" s="46" t="n"/>
      <c r="G25" s="46" t="n"/>
      <c r="H25" s="46" t="n"/>
      <c r="I25" s="48" t="n"/>
      <c r="J25" s="48" t="n"/>
    </row>
    <row r="26" ht="15.5" customHeight="1">
      <c r="C26" s="46" t="n"/>
      <c r="D26" s="46" t="n"/>
      <c r="E26" s="116" t="inlineStr">
        <is>
          <t>Computation of Netwoth :</t>
        </is>
      </c>
      <c r="F26" s="46" t="n"/>
      <c r="G26" s="46" t="n"/>
      <c r="H26" s="46" t="n"/>
      <c r="I26" s="48" t="n"/>
      <c r="J26" s="48" t="n"/>
    </row>
    <row r="27" ht="31" customHeight="1">
      <c r="C27" s="113" t="n"/>
      <c r="D27" s="113" t="n"/>
      <c r="E27" s="114" t="inlineStr">
        <is>
          <t>Assests / Investments :</t>
        </is>
      </c>
      <c r="F27" s="113" t="n"/>
      <c r="G27" s="113" t="n"/>
      <c r="H27" s="113" t="n"/>
      <c r="I27" s="364" t="inlineStr">
        <is>
          <t>Current Value</t>
        </is>
      </c>
      <c r="J27" s="115" t="n"/>
      <c r="K27" s="22" t="inlineStr">
        <is>
          <t xml:space="preserve">Long Term (Post Tax Earnings %) </t>
        </is>
      </c>
    </row>
    <row r="28">
      <c r="C28" s="51" t="n"/>
      <c r="D28" s="32" t="inlineStr">
        <is>
          <t>Finanical Assets</t>
        </is>
      </c>
      <c r="E28" s="51" t="inlineStr">
        <is>
          <t>Mutual Fund</t>
        </is>
      </c>
      <c r="F28" s="51" t="n"/>
      <c r="G28" s="51" t="n"/>
      <c r="H28" s="51" t="n"/>
      <c r="I28" s="158">
        <f>'4A_Mutual_Funds'!H22</f>
        <v/>
      </c>
      <c r="J28" s="51" t="n"/>
      <c r="K28" s="479">
        <f>'Assumptions &amp; Computation'!E22</f>
        <v/>
      </c>
    </row>
    <row r="29" ht="15.5" customHeight="1">
      <c r="C29" s="51" t="n"/>
      <c r="D29" s="32" t="inlineStr">
        <is>
          <t>Finanical Assets</t>
        </is>
      </c>
      <c r="E29" s="29" t="inlineStr">
        <is>
          <t>Equity</t>
        </is>
      </c>
      <c r="F29" s="51" t="n"/>
      <c r="G29" s="51" t="n"/>
      <c r="H29" s="51" t="n"/>
      <c r="I29" s="158">
        <f>'4B_Equity_Stocks'!E24</f>
        <v/>
      </c>
      <c r="J29" s="32" t="inlineStr">
        <is>
          <t>Allocated for weak, neutral and strong</t>
        </is>
      </c>
      <c r="K29" s="479">
        <f>12%*0.875</f>
        <v/>
      </c>
    </row>
    <row r="30" ht="15.5" customHeight="1">
      <c r="C30" s="51" t="n"/>
      <c r="D30" s="32" t="inlineStr">
        <is>
          <t>Finanical Assets</t>
        </is>
      </c>
      <c r="E30" s="29" t="inlineStr">
        <is>
          <t>FD</t>
        </is>
      </c>
      <c r="F30" s="51" t="n"/>
      <c r="G30" s="51" t="n"/>
      <c r="H30" s="51" t="n"/>
      <c r="I30" s="158">
        <f>'4C_Fixed_Income'!E2</f>
        <v/>
      </c>
      <c r="J30" s="32" t="inlineStr">
        <is>
          <t>allocated</t>
        </is>
      </c>
      <c r="K30" s="479">
        <f>8%*0.7</f>
        <v/>
      </c>
    </row>
    <row r="31" ht="15.5" customHeight="1">
      <c r="C31" s="51" t="n"/>
      <c r="D31" s="32" t="inlineStr">
        <is>
          <t>Finanical Assets</t>
        </is>
      </c>
      <c r="E31" s="29" t="inlineStr">
        <is>
          <t>Bonds</t>
        </is>
      </c>
      <c r="F31" s="51" t="n"/>
      <c r="G31" s="51" t="n"/>
      <c r="H31" s="51" t="n"/>
      <c r="I31" s="158">
        <f>'4C_Fixed_Income'!E3</f>
        <v/>
      </c>
      <c r="J31" s="32" t="inlineStr">
        <is>
          <t>allocated</t>
        </is>
      </c>
      <c r="K31" s="479">
        <f>8%*0.7</f>
        <v/>
      </c>
    </row>
    <row r="32" ht="15.5" customHeight="1">
      <c r="C32" s="51" t="n"/>
      <c r="D32" s="32" t="inlineStr">
        <is>
          <t>Finanical Assets</t>
        </is>
      </c>
      <c r="E32" s="29" t="inlineStr">
        <is>
          <t>NSC</t>
        </is>
      </c>
      <c r="F32" s="51" t="n"/>
      <c r="G32" s="51" t="n"/>
      <c r="H32" s="51" t="n"/>
      <c r="I32" s="158">
        <f>'4C_Fixed_Income'!E4</f>
        <v/>
      </c>
      <c r="J32" s="32" t="inlineStr">
        <is>
          <t>allocated</t>
        </is>
      </c>
      <c r="K32" s="479">
        <f>6%*0.7</f>
        <v/>
      </c>
    </row>
    <row r="33" ht="15.5" customHeight="1">
      <c r="C33" s="51" t="n"/>
      <c r="D33" s="32" t="inlineStr">
        <is>
          <t>Finanical Assets</t>
        </is>
      </c>
      <c r="E33" s="29" t="inlineStr">
        <is>
          <t>PPF</t>
        </is>
      </c>
      <c r="F33" s="51" t="n"/>
      <c r="G33" s="51" t="n"/>
      <c r="H33" s="51" t="n"/>
      <c r="I33" s="158">
        <f>'4C_Fixed_Income'!E5</f>
        <v/>
      </c>
      <c r="J33" s="32" t="inlineStr">
        <is>
          <t>allocated</t>
        </is>
      </c>
      <c r="K33" s="479">
        <f>7%*0.7</f>
        <v/>
      </c>
    </row>
    <row r="34" ht="15.5" customHeight="1">
      <c r="C34" s="51" t="n"/>
      <c r="D34" s="32" t="inlineStr">
        <is>
          <t>Finanical Assets</t>
        </is>
      </c>
      <c r="E34" s="29" t="inlineStr">
        <is>
          <t>EPF</t>
        </is>
      </c>
      <c r="F34" s="51" t="n"/>
      <c r="G34" s="51" t="n"/>
      <c r="H34" s="51" t="n"/>
      <c r="I34" s="158">
        <f>'4C_Fixed_Income'!E6</f>
        <v/>
      </c>
      <c r="J34" s="32" t="inlineStr">
        <is>
          <t>allocated</t>
        </is>
      </c>
      <c r="K34" s="479">
        <f>8%*0.7</f>
        <v/>
      </c>
    </row>
    <row r="35" ht="15.5" customHeight="1">
      <c r="C35" s="51" t="n"/>
      <c r="D35" s="32" t="inlineStr">
        <is>
          <t>Finanical Assets</t>
        </is>
      </c>
      <c r="E35" s="29" t="inlineStr">
        <is>
          <t>NPS</t>
        </is>
      </c>
      <c r="F35" s="51" t="n"/>
      <c r="G35" s="51" t="n"/>
      <c r="H35" s="51" t="n"/>
      <c r="I35" s="158">
        <f>'4C_Fixed_Income'!E7</f>
        <v/>
      </c>
      <c r="J35" s="32" t="inlineStr">
        <is>
          <t>allocated</t>
        </is>
      </c>
      <c r="K35" s="479">
        <f>7%*0.7</f>
        <v/>
      </c>
    </row>
    <row r="36" ht="15.5" customHeight="1">
      <c r="C36" s="51" t="n"/>
      <c r="D36" s="32" t="inlineStr">
        <is>
          <t>Finanical Assets</t>
        </is>
      </c>
      <c r="E36" s="29" t="inlineStr">
        <is>
          <t>Post Office Saving A/c</t>
        </is>
      </c>
      <c r="F36" s="51" t="n"/>
      <c r="G36" s="51" t="n"/>
      <c r="H36" s="51" t="n"/>
      <c r="I36" s="158">
        <f>'4C_Fixed_Income'!E8</f>
        <v/>
      </c>
      <c r="J36" s="32" t="inlineStr">
        <is>
          <t>allocated</t>
        </is>
      </c>
      <c r="K36" s="479">
        <f>7%*0.7</f>
        <v/>
      </c>
    </row>
    <row r="37" ht="15.5" customHeight="1">
      <c r="C37" s="51" t="n"/>
      <c r="D37" s="32" t="inlineStr">
        <is>
          <t>Finanical Assets</t>
        </is>
      </c>
      <c r="E37" s="29" t="inlineStr">
        <is>
          <t>Pls Specify 1</t>
        </is>
      </c>
      <c r="F37" s="51" t="n"/>
      <c r="G37" s="51" t="n"/>
      <c r="H37" s="51" t="n"/>
      <c r="I37" s="158" t="n"/>
      <c r="J37" s="51" t="n"/>
      <c r="K37" s="501">
        <f>7%*0.7</f>
        <v/>
      </c>
    </row>
    <row r="38" ht="15.5" customHeight="1">
      <c r="C38" s="51" t="n"/>
      <c r="D38" s="32" t="inlineStr">
        <is>
          <t>Finanical Assets</t>
        </is>
      </c>
      <c r="E38" s="29" t="inlineStr">
        <is>
          <t>Pls Specify 1</t>
        </is>
      </c>
      <c r="F38" s="51" t="n"/>
      <c r="G38" s="51" t="n"/>
      <c r="H38" s="51" t="n"/>
      <c r="I38" s="158" t="n"/>
      <c r="J38" s="51" t="n"/>
      <c r="K38" s="501">
        <f>7%*0.7</f>
        <v/>
      </c>
    </row>
    <row r="39" ht="15.5" customHeight="1">
      <c r="C39" s="51" t="n"/>
      <c r="D39" s="32" t="inlineStr">
        <is>
          <t>Finanical Assets</t>
        </is>
      </c>
      <c r="E39" s="29" t="inlineStr">
        <is>
          <t>Pls Specify 1</t>
        </is>
      </c>
      <c r="F39" s="51" t="n"/>
      <c r="G39" s="51" t="n"/>
      <c r="H39" s="51" t="n"/>
      <c r="I39" s="158" t="n"/>
      <c r="J39" s="51" t="n"/>
      <c r="K39" s="501">
        <f>7%*0.7</f>
        <v/>
      </c>
    </row>
    <row r="40">
      <c r="C40" s="51" t="n"/>
      <c r="D40" s="32" t="inlineStr">
        <is>
          <t>Finanical Assets</t>
        </is>
      </c>
      <c r="E40" s="32" t="inlineStr">
        <is>
          <t>Liquid Assets</t>
        </is>
      </c>
      <c r="F40" s="51" t="n"/>
      <c r="G40" s="51" t="n"/>
      <c r="H40" s="51" t="n"/>
      <c r="I40" s="158">
        <f>'6_Liquid_Capital'!C10</f>
        <v/>
      </c>
      <c r="J40" s="32" t="inlineStr">
        <is>
          <t>allocated</t>
        </is>
      </c>
      <c r="K40" s="479">
        <f>6%*0.7</f>
        <v/>
      </c>
    </row>
    <row r="41">
      <c r="C41" s="51" t="n"/>
      <c r="D41" s="32" t="inlineStr">
        <is>
          <t>Finanical Assets</t>
        </is>
      </c>
      <c r="E41" s="32" t="inlineStr">
        <is>
          <t>Liquid Assets</t>
        </is>
      </c>
      <c r="F41" s="51" t="n"/>
      <c r="G41" s="51" t="n"/>
      <c r="H41" s="51" t="n"/>
      <c r="I41" s="158">
        <f>'6_Liquid_Capital'!C11</f>
        <v/>
      </c>
      <c r="J41" s="51" t="n"/>
      <c r="K41" s="479">
        <f>6%*0.7</f>
        <v/>
      </c>
    </row>
    <row r="42">
      <c r="C42" s="357" t="n"/>
      <c r="D42" s="357" t="inlineStr">
        <is>
          <t>Finanical Assets</t>
        </is>
      </c>
      <c r="E42" s="357" t="n"/>
      <c r="F42" s="357" t="n"/>
      <c r="G42" s="357" t="n"/>
      <c r="H42" s="357" t="n"/>
      <c r="I42" s="358">
        <f>SUM(I28:I41)</f>
        <v/>
      </c>
      <c r="J42" s="357" t="n"/>
      <c r="K42" s="502">
        <f>SUMPRODUCT(I28:I41,K28:K41)/I42</f>
        <v/>
      </c>
    </row>
    <row r="43">
      <c r="C43" s="51" t="n"/>
      <c r="D43" s="51" t="n"/>
      <c r="E43" s="51" t="n"/>
      <c r="F43" s="51" t="n"/>
      <c r="G43" s="51" t="n"/>
      <c r="H43" s="51" t="n"/>
      <c r="I43" s="51" t="n"/>
      <c r="J43" s="51" t="n"/>
    </row>
    <row r="44" ht="15.5" customHeight="1">
      <c r="C44" s="51" t="n"/>
      <c r="D44" s="32" t="inlineStr">
        <is>
          <t>Non Financial Assets</t>
        </is>
      </c>
      <c r="E44" s="29" t="inlineStr">
        <is>
          <t>Real Estate</t>
        </is>
      </c>
      <c r="F44" s="51" t="n"/>
      <c r="G44" s="51" t="n"/>
      <c r="H44" s="51" t="n"/>
      <c r="I44" s="158">
        <f>'4D_Real_Estate'!C10</f>
        <v/>
      </c>
      <c r="J44" s="51" t="n"/>
      <c r="K44" s="501">
        <f>8%*0.875</f>
        <v/>
      </c>
      <c r="L44" s="22" t="inlineStr">
        <is>
          <t>Long term Appreciation Rate</t>
        </is>
      </c>
    </row>
    <row r="45" ht="15.5" customHeight="1">
      <c r="C45" s="51" t="n"/>
      <c r="D45" s="32" t="inlineStr">
        <is>
          <t>Non Financial Assets</t>
        </is>
      </c>
      <c r="E45" s="29" t="inlineStr">
        <is>
          <t>Gold &amp; Others</t>
        </is>
      </c>
      <c r="F45" s="51" t="n"/>
      <c r="G45" s="51" t="n"/>
      <c r="H45" s="51" t="n"/>
      <c r="I45" s="158">
        <f>'4E_Gold &amp; Others'!C10</f>
        <v/>
      </c>
      <c r="J45" s="51" t="n"/>
      <c r="K45" s="501">
        <f>8%*0.875</f>
        <v/>
      </c>
    </row>
    <row r="46" ht="15.5" customHeight="1">
      <c r="C46" s="51" t="n"/>
      <c r="D46" s="32" t="inlineStr">
        <is>
          <t>Non Financial Assets</t>
        </is>
      </c>
      <c r="E46" s="29" t="inlineStr">
        <is>
          <t>Pls Specify 1</t>
        </is>
      </c>
      <c r="F46" s="51" t="n"/>
      <c r="G46" s="51" t="n"/>
      <c r="H46" s="51" t="n"/>
      <c r="I46" s="158" t="n"/>
      <c r="J46" s="51" t="n"/>
      <c r="K46" s="501">
        <f>8%*0.875</f>
        <v/>
      </c>
    </row>
    <row r="47">
      <c r="C47" s="357" t="n"/>
      <c r="D47" s="357" t="inlineStr">
        <is>
          <t>Non Financial Assets</t>
        </is>
      </c>
      <c r="E47" s="357" t="n"/>
      <c r="F47" s="357" t="n"/>
      <c r="G47" s="357" t="n"/>
      <c r="H47" s="357" t="n"/>
      <c r="I47" s="358">
        <f>SUM(I44:I46)</f>
        <v/>
      </c>
      <c r="J47" s="357" t="n"/>
      <c r="K47" s="502">
        <f>SUMPRODUCT(I44:I46,K44:K46)/I47</f>
        <v/>
      </c>
    </row>
    <row r="48" ht="15.5" customHeight="1">
      <c r="C48" s="51" t="n"/>
      <c r="D48" s="32" t="n"/>
      <c r="E48" s="29" t="n"/>
      <c r="F48" s="51" t="n"/>
      <c r="G48" s="51" t="n"/>
      <c r="H48" s="51" t="n"/>
      <c r="I48" s="158" t="n"/>
      <c r="J48" s="51" t="n"/>
      <c r="K48" s="479" t="n"/>
    </row>
    <row r="49" ht="15.5" customHeight="1">
      <c r="C49" s="352" t="n"/>
      <c r="D49" s="353" t="n"/>
      <c r="E49" s="354" t="inlineStr">
        <is>
          <t>Total Assets / Investments</t>
        </is>
      </c>
      <c r="F49" s="355" t="n"/>
      <c r="G49" s="355" t="n"/>
      <c r="H49" s="355" t="n"/>
      <c r="I49" s="356">
        <f>SUM(I42,I47)</f>
        <v/>
      </c>
      <c r="J49" s="355" t="n"/>
      <c r="K49" s="356" t="n"/>
    </row>
    <row r="50">
      <c r="C50" s="51" t="n"/>
      <c r="D50" s="51" t="n"/>
      <c r="E50" s="51" t="n"/>
      <c r="F50" s="51" t="n"/>
      <c r="G50" s="51" t="n"/>
      <c r="H50" s="51" t="n"/>
      <c r="I50" s="158" t="n"/>
      <c r="J50" s="51" t="n"/>
    </row>
    <row r="51" ht="15.5" customHeight="1">
      <c r="C51" s="36" t="n"/>
      <c r="D51" s="37" t="n"/>
      <c r="E51" s="38" t="inlineStr">
        <is>
          <t>Total Loans</t>
        </is>
      </c>
      <c r="F51" s="45" t="n"/>
      <c r="G51" s="45" t="n"/>
      <c r="H51" s="45" t="n"/>
      <c r="I51" s="70">
        <f>'8_Loans_Liabilities'!C10</f>
        <v/>
      </c>
      <c r="J51" s="45" t="n"/>
    </row>
    <row r="52">
      <c r="C52" s="51" t="n"/>
      <c r="D52" s="51" t="n"/>
      <c r="E52" s="51" t="n"/>
      <c r="F52" s="51" t="n"/>
      <c r="G52" s="51" t="n"/>
      <c r="H52" s="51" t="n"/>
      <c r="I52" s="158" t="n"/>
      <c r="J52" s="51" t="n"/>
    </row>
    <row r="53" ht="15.5" customHeight="1">
      <c r="C53" s="53" t="n"/>
      <c r="D53" s="53" t="n"/>
      <c r="E53" s="54" t="inlineStr">
        <is>
          <t>Net Worth</t>
        </is>
      </c>
      <c r="F53" s="53" t="n"/>
      <c r="G53" s="53" t="n"/>
      <c r="H53" s="53" t="n"/>
      <c r="I53" s="71">
        <f>I49-I51</f>
        <v/>
      </c>
      <c r="J53" s="56" t="n"/>
    </row>
    <row r="54">
      <c r="C54" s="51" t="n"/>
      <c r="D54" s="51" t="n"/>
      <c r="E54" s="51" t="n"/>
      <c r="F54" s="51" t="n"/>
      <c r="G54" s="51" t="n"/>
      <c r="H54" s="51" t="n"/>
      <c r="I54" s="158" t="n"/>
      <c r="J54" s="51" t="n"/>
    </row>
    <row r="56">
      <c r="E56" s="22" t="inlineStr">
        <is>
          <t>Financial Assets</t>
        </is>
      </c>
    </row>
    <row r="57">
      <c r="E57" s="22" t="inlineStr">
        <is>
          <t>Non Financial Assets (Real Estae/Gold etc)</t>
        </is>
      </c>
    </row>
    <row r="58">
      <c r="E58" s="22" t="n"/>
    </row>
    <row r="59">
      <c r="E59" s="65" t="inlineStr">
        <is>
          <t>Whether client has Will for transmission of assets to next generation</t>
        </is>
      </c>
      <c r="I59" s="22" t="inlineStr">
        <is>
          <t>Yes/No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2:L121"/>
  <sheetViews>
    <sheetView showGridLines="0" topLeftCell="C34" workbookViewId="0">
      <selection activeCell="F55" sqref="F55"/>
    </sheetView>
  </sheetViews>
  <sheetFormatPr baseColWidth="8" defaultRowHeight="14"/>
  <cols>
    <col width="11.4140625" customWidth="1" min="1" max="1"/>
    <col width="74.75" customWidth="1" min="2" max="2"/>
    <col width="14.33203125" bestFit="1" customWidth="1" min="3" max="3"/>
    <col width="13.1640625" customWidth="1" min="4" max="5"/>
    <col width="22.4140625" customWidth="1" min="6" max="6"/>
    <col width="18.08203125" customWidth="1" min="7" max="7"/>
    <col width="14.33203125" bestFit="1" customWidth="1" min="8" max="10"/>
    <col width="15" customWidth="1" min="11" max="11"/>
  </cols>
  <sheetData>
    <row r="2" ht="15.5" customHeight="1">
      <c r="A2" s="22" t="n"/>
      <c r="B2" s="419" t="inlineStr">
        <is>
          <t xml:space="preserve">Retirement corpus needed considering providing for his wife's lifetime also </t>
        </is>
      </c>
      <c r="C2" s="270" t="n"/>
    </row>
    <row r="3" ht="15.5" customHeight="1">
      <c r="A3" s="22" t="n"/>
      <c r="B3" s="306" t="n"/>
    </row>
    <row r="4" ht="15.5" customHeight="1">
      <c r="B4" s="344" t="inlineStr">
        <is>
          <t>1)   What is the corpus requirement to ensure that he is able to sustain the same standard of living for 15 years after retirement?</t>
        </is>
      </c>
    </row>
    <row r="5" ht="16" customHeight="1" thickBot="1">
      <c r="B5" s="315" t="inlineStr">
        <is>
          <t>Computation</t>
        </is>
      </c>
    </row>
    <row r="6" ht="29.5" customHeight="1" thickBot="1">
      <c r="B6" s="310" t="inlineStr">
        <is>
          <t>Particulars</t>
        </is>
      </c>
      <c r="C6" s="311" t="inlineStr">
        <is>
          <t>Input/Computation</t>
        </is>
      </c>
      <c r="D6" s="311" t="inlineStr">
        <is>
          <t>Metric</t>
        </is>
      </c>
      <c r="E6" s="311" t="inlineStr">
        <is>
          <t>Amount (Rs.)</t>
        </is>
      </c>
      <c r="F6" s="311" t="inlineStr">
        <is>
          <t>Calculation</t>
        </is>
      </c>
    </row>
    <row r="7" ht="15" customHeight="1" thickBot="1">
      <c r="B7" s="317" t="inlineStr">
        <is>
          <t>Current Age of Mr M</t>
        </is>
      </c>
      <c r="C7" s="335" t="inlineStr">
        <is>
          <t>Input</t>
        </is>
      </c>
      <c r="D7" s="335" t="inlineStr">
        <is>
          <t>Years</t>
        </is>
      </c>
      <c r="E7" s="335">
        <f>'1_Personal_Details'!D5</f>
        <v/>
      </c>
      <c r="F7" s="335" t="n"/>
    </row>
    <row r="8" ht="15" customHeight="1" thickBot="1">
      <c r="B8" s="317" t="inlineStr">
        <is>
          <t>Retirement Age</t>
        </is>
      </c>
      <c r="C8" s="335" t="inlineStr">
        <is>
          <t>Input</t>
        </is>
      </c>
      <c r="D8" s="335" t="inlineStr">
        <is>
          <t>Years</t>
        </is>
      </c>
      <c r="E8" s="503">
        <f>'1_Personal_Details'!H5</f>
        <v/>
      </c>
      <c r="F8" s="335" t="n"/>
    </row>
    <row r="9" ht="15" customHeight="1" thickBot="1">
      <c r="B9" s="317" t="inlineStr">
        <is>
          <t>Current Age of Mrs M (Housewife)</t>
        </is>
      </c>
      <c r="C9" s="335" t="inlineStr">
        <is>
          <t>Input</t>
        </is>
      </c>
      <c r="D9" s="335" t="inlineStr">
        <is>
          <t>Years</t>
        </is>
      </c>
      <c r="E9" s="335">
        <f>'1_Personal_Details'!D6</f>
        <v/>
      </c>
      <c r="F9" s="335" t="n"/>
    </row>
    <row r="10" ht="16" customHeight="1" thickBot="1">
      <c r="B10" s="313" t="inlineStr">
        <is>
          <t>Time to Retire</t>
        </is>
      </c>
      <c r="C10" s="146" t="inlineStr">
        <is>
          <t>Computation</t>
        </is>
      </c>
      <c r="D10" s="335" t="inlineStr">
        <is>
          <t>Years</t>
        </is>
      </c>
      <c r="E10" s="335">
        <f>E8-E7</f>
        <v/>
      </c>
      <c r="F10" s="335" t="n"/>
    </row>
    <row r="11" ht="16" customHeight="1" thickBot="1">
      <c r="B11" s="313" t="n"/>
      <c r="C11" s="146" t="n"/>
      <c r="D11" s="335" t="n"/>
      <c r="E11" s="335" t="n"/>
      <c r="F11" s="335" t="n"/>
    </row>
    <row r="12" ht="15" customHeight="1" thickBot="1">
      <c r="B12" s="317" t="inlineStr">
        <is>
          <t>Life Expectancy of Mr M</t>
        </is>
      </c>
      <c r="C12" s="335" t="inlineStr">
        <is>
          <t>Input</t>
        </is>
      </c>
      <c r="D12" s="335" t="inlineStr">
        <is>
          <t>Years</t>
        </is>
      </c>
      <c r="E12" s="335">
        <f>'Assumptions &amp; Computation'!E43</f>
        <v/>
      </c>
      <c r="F12" s="335" t="n"/>
    </row>
    <row r="13" ht="15" customHeight="1" thickBot="1">
      <c r="B13" s="317" t="inlineStr">
        <is>
          <t>Life Expectancy of Mrs. M</t>
        </is>
      </c>
      <c r="C13" s="335" t="inlineStr">
        <is>
          <t>Input</t>
        </is>
      </c>
      <c r="D13" s="335" t="inlineStr">
        <is>
          <t>Years</t>
        </is>
      </c>
      <c r="E13" s="335">
        <f>'Assumptions &amp; Computation'!E44</f>
        <v/>
      </c>
      <c r="F13" s="343" t="n"/>
    </row>
    <row r="14" ht="16" customHeight="1" thickBot="1">
      <c r="B14" s="343" t="inlineStr">
        <is>
          <t>Age of Mrs M at the time of retirement of Mr M</t>
        </is>
      </c>
      <c r="C14" s="47" t="inlineStr">
        <is>
          <t>Computation</t>
        </is>
      </c>
      <c r="D14" s="335" t="inlineStr">
        <is>
          <t>Years</t>
        </is>
      </c>
      <c r="E14" s="503">
        <f>E8-(E7-E9)</f>
        <v/>
      </c>
      <c r="F14" s="343" t="n"/>
    </row>
    <row r="15" ht="15.5" customHeight="1">
      <c r="B15" s="47" t="inlineStr">
        <is>
          <t>No. of Years to be served Post Retirement of Mr M</t>
        </is>
      </c>
      <c r="C15" s="47" t="inlineStr">
        <is>
          <t>Computation</t>
        </is>
      </c>
      <c r="D15" s="343" t="inlineStr">
        <is>
          <t>Years</t>
        </is>
      </c>
      <c r="E15" s="504">
        <f>E13-E14</f>
        <v/>
      </c>
      <c r="F15" s="343" t="n"/>
    </row>
    <row r="16" ht="15" customHeight="1" thickBot="1">
      <c r="B16" s="317" t="n"/>
      <c r="C16" s="335" t="n"/>
      <c r="D16" s="335" t="n"/>
      <c r="E16" s="335" t="n"/>
      <c r="F16" s="335" t="n"/>
    </row>
    <row r="17" ht="15" customHeight="1" thickBot="1">
      <c r="B17" s="309" t="inlineStr">
        <is>
          <t>Annual Living expenses (at current age)</t>
        </is>
      </c>
      <c r="C17" s="312" t="inlineStr">
        <is>
          <t>Input</t>
        </is>
      </c>
      <c r="D17" s="312" t="inlineStr">
        <is>
          <t>INR</t>
        </is>
      </c>
      <c r="E17" s="328">
        <f>SUM('3_Expenses '!I6:I21)*12</f>
        <v/>
      </c>
      <c r="F17" s="312" t="n"/>
    </row>
    <row r="18" ht="44" customHeight="1" thickBot="1">
      <c r="B18" s="309" t="inlineStr">
        <is>
          <t xml:space="preserve">Estimated Living Expenses at the time of retirement </t>
        </is>
      </c>
      <c r="C18" s="312" t="inlineStr">
        <is>
          <t>Input</t>
        </is>
      </c>
      <c r="D18" s="312" t="inlineStr">
        <is>
          <t>INR</t>
        </is>
      </c>
      <c r="E18" s="328">
        <f>(SUM('3_Expenses '!I6:I20)-'3_Expenses '!I8)*12</f>
        <v/>
      </c>
      <c r="F18" s="312" t="inlineStr">
        <is>
          <t>Exclude school fees etc and add additional medical spend etc</t>
        </is>
      </c>
      <c r="G18" s="312" t="n"/>
    </row>
    <row r="19" ht="15" customHeight="1" thickBot="1">
      <c r="B19" s="309" t="inlineStr">
        <is>
          <t>Current Inflation (given)</t>
        </is>
      </c>
      <c r="C19" s="312" t="inlineStr">
        <is>
          <t>Asssumed</t>
        </is>
      </c>
      <c r="D19" s="312" t="inlineStr">
        <is>
          <t>%</t>
        </is>
      </c>
      <c r="E19" s="323">
        <f>'Assumptions &amp; Computation'!D3</f>
        <v/>
      </c>
      <c r="F19" s="322" t="n"/>
    </row>
    <row r="20" ht="16" customHeight="1" thickBot="1">
      <c r="B20" s="309" t="inlineStr">
        <is>
          <t>Living expense (at retirement of Mr M.)</t>
        </is>
      </c>
      <c r="C20" s="146" t="inlineStr">
        <is>
          <t>Computation</t>
        </is>
      </c>
      <c r="D20" s="312" t="inlineStr">
        <is>
          <t>INR</t>
        </is>
      </c>
      <c r="E20" s="329">
        <f>FV(E19,E10,,-E18)</f>
        <v/>
      </c>
      <c r="F20" s="505" t="n"/>
    </row>
    <row r="21" ht="15" customHeight="1" thickBot="1">
      <c r="B21" s="309" t="n"/>
      <c r="C21" s="312" t="n"/>
      <c r="D21" s="312" t="n"/>
      <c r="E21" s="329" t="n"/>
      <c r="F21" s="505" t="n"/>
    </row>
    <row r="22" ht="15" customHeight="1" thickBot="1">
      <c r="B22" s="309" t="inlineStr">
        <is>
          <t>Expected return on investment</t>
        </is>
      </c>
      <c r="C22" s="312" t="inlineStr">
        <is>
          <t>Asssumed</t>
        </is>
      </c>
      <c r="D22" s="312" t="inlineStr">
        <is>
          <t>%</t>
        </is>
      </c>
      <c r="E22" s="506">
        <f>'Assumptions &amp; Computation'!E23</f>
        <v/>
      </c>
      <c r="F22" s="326" t="n"/>
    </row>
    <row r="23" ht="15" customHeight="1" thickBot="1">
      <c r="B23" s="309" t="inlineStr">
        <is>
          <t xml:space="preserve">Expected Inflation post retirement </t>
        </is>
      </c>
      <c r="C23" s="312" t="inlineStr">
        <is>
          <t>Asssumed</t>
        </is>
      </c>
      <c r="D23" s="312" t="inlineStr">
        <is>
          <t>%</t>
        </is>
      </c>
      <c r="E23" s="506">
        <f>'Assumptions &amp; Computation'!D3</f>
        <v/>
      </c>
      <c r="F23" s="322" t="n"/>
    </row>
    <row r="24" ht="15" customHeight="1" thickBot="1">
      <c r="B24" s="309" t="inlineStr">
        <is>
          <t>Inflation adjusted return (During Retirement years)</t>
        </is>
      </c>
      <c r="C24" s="312" t="inlineStr">
        <is>
          <t>Asssumed</t>
        </is>
      </c>
      <c r="D24" s="312" t="inlineStr">
        <is>
          <t>%</t>
        </is>
      </c>
      <c r="E24" s="331">
        <f>((1+E22)/(1+E23))-1</f>
        <v/>
      </c>
      <c r="F24" s="334" t="n"/>
    </row>
    <row r="25" ht="73" customHeight="1" thickBot="1">
      <c r="B25" s="332" t="inlineStr">
        <is>
          <t>Retirement corpus required at the time of retirement</t>
        </is>
      </c>
      <c r="C25" s="336" t="n"/>
      <c r="D25" s="336" t="n"/>
      <c r="E25" s="333">
        <f>PV(E24,E15,-E20,0,1)</f>
        <v/>
      </c>
      <c r="F25" s="312" t="inlineStr">
        <is>
          <t>1 denotes payment at the beginning of the period - as money need to be generated at the beginning of period for spend</t>
        </is>
      </c>
    </row>
    <row r="26" ht="14.5" customHeight="1">
      <c r="B26" s="393" t="inlineStr">
        <is>
          <t>One Time Spend Post Retirement</t>
        </is>
      </c>
      <c r="C26" s="394" t="inlineStr">
        <is>
          <t>Input</t>
        </is>
      </c>
      <c r="D26" s="394" t="n"/>
      <c r="E26" s="395">
        <f>'10_Financial_Goals'!E20</f>
        <v/>
      </c>
      <c r="F26" s="396" t="n"/>
      <c r="G26" s="397" t="n"/>
    </row>
    <row r="27" ht="16.5" customHeight="1">
      <c r="B27" s="398" t="inlineStr">
        <is>
          <t>Time for above spend</t>
        </is>
      </c>
      <c r="C27" s="29" t="inlineStr">
        <is>
          <t>Check Period</t>
        </is>
      </c>
      <c r="D27" s="387" t="inlineStr">
        <is>
          <t>Years</t>
        </is>
      </c>
      <c r="E27" s="507">
        <f>'10_Financial_Goals'!D20</f>
        <v/>
      </c>
      <c r="F27" s="387" t="n"/>
      <c r="G27" s="399" t="n"/>
    </row>
    <row r="28" ht="16.5" customHeight="1" thickBot="1">
      <c r="B28" s="400" t="inlineStr">
        <is>
          <t>Current Inflation (given)</t>
        </is>
      </c>
      <c r="C28" s="312" t="inlineStr">
        <is>
          <t>Asssumed</t>
        </is>
      </c>
      <c r="D28" s="312" t="inlineStr">
        <is>
          <t>%</t>
        </is>
      </c>
      <c r="E28" s="389">
        <f>E19</f>
        <v/>
      </c>
      <c r="F28" s="387" t="n"/>
      <c r="G28" s="399" t="n"/>
    </row>
    <row r="29" ht="16.5" customHeight="1">
      <c r="B29" s="401" t="inlineStr">
        <is>
          <t>Value on the date of retirement</t>
        </is>
      </c>
      <c r="C29" s="390" t="n"/>
      <c r="D29" s="391" t="n"/>
      <c r="E29" s="508">
        <f>FV(E28,E27,,-E26)</f>
        <v/>
      </c>
      <c r="F29" s="391" t="n"/>
      <c r="G29" s="402" t="n"/>
    </row>
    <row r="30" ht="15" customHeight="1" thickBot="1">
      <c r="B30" s="403" t="inlineStr">
        <is>
          <t>Total Retirement Corpus Needed for Retirement spend and one time goal post retirment</t>
        </is>
      </c>
      <c r="C30" s="404" t="n"/>
      <c r="D30" s="404" t="n"/>
      <c r="E30" s="405">
        <f>E25+E29</f>
        <v/>
      </c>
      <c r="F30" s="406" t="n"/>
      <c r="G30" s="407" t="n"/>
    </row>
    <row r="31" ht="15.5" customHeight="1">
      <c r="A31" s="22" t="n"/>
      <c r="B31" s="306" t="n"/>
    </row>
    <row r="32" ht="15.5" customHeight="1">
      <c r="A32" s="22" t="n"/>
      <c r="B32" s="306" t="n"/>
    </row>
    <row r="34">
      <c r="B34" s="445" t="inlineStr">
        <is>
          <t>2. Computation of additional investments to be done to meet shortfall of Corpus</t>
        </is>
      </c>
      <c r="C34" s="446" t="inlineStr">
        <is>
          <t>Recurring Spend Plan</t>
        </is>
      </c>
      <c r="D34" s="446" t="inlineStr">
        <is>
          <t>One Time Spend Plan</t>
        </is>
      </c>
      <c r="E34" s="446" t="inlineStr">
        <is>
          <t>Total SIP Needs</t>
        </is>
      </c>
    </row>
    <row r="35" ht="15.5" customHeight="1">
      <c r="B35" s="447" t="inlineStr">
        <is>
          <t xml:space="preserve">2. In this case Corpus needed for retirement </t>
        </is>
      </c>
      <c r="C35" s="448">
        <f>E25</f>
        <v/>
      </c>
      <c r="D35" s="448">
        <f>E29</f>
        <v/>
      </c>
      <c r="E35" s="448" t="n"/>
    </row>
    <row r="36">
      <c r="B36" s="103" t="inlineStr">
        <is>
          <t xml:space="preserve">Projected Corpus based on his current value of investments </t>
        </is>
      </c>
      <c r="C36" s="448">
        <f>'10_Financial_Goals'!Y21</f>
        <v/>
      </c>
      <c r="D36" s="448" t="n">
        <v>0</v>
      </c>
      <c r="E36" s="448" t="n"/>
    </row>
    <row r="37">
      <c r="B37" s="103" t="inlineStr">
        <is>
          <t>Shortfall in corpus</t>
        </is>
      </c>
      <c r="C37" s="448">
        <f>C35-C36</f>
        <v/>
      </c>
      <c r="D37" s="448">
        <f>D35-D36</f>
        <v/>
      </c>
      <c r="E37" s="448" t="n"/>
    </row>
    <row r="38">
      <c r="B38" s="73" t="n"/>
      <c r="C38" s="448" t="n"/>
      <c r="D38" s="448" t="n"/>
      <c r="E38" s="448" t="n"/>
    </row>
    <row r="39">
      <c r="B39" s="103" t="inlineStr">
        <is>
          <t>Years to retire</t>
        </is>
      </c>
      <c r="C39" s="449">
        <f>'10_Financial_Goals'!D19</f>
        <v/>
      </c>
      <c r="D39" s="448">
        <f>'10_Financial_Goals'!D20</f>
        <v/>
      </c>
      <c r="E39" s="448" t="n"/>
    </row>
    <row r="40" ht="14.5" customHeight="1">
      <c r="B40" s="450" t="inlineStr">
        <is>
          <t>Expected return on investment (Post Tax)</t>
        </is>
      </c>
      <c r="C40" s="448">
        <f>'Assumptions &amp; Computation'!E22</f>
        <v/>
      </c>
      <c r="D40" s="448">
        <f>'Assumptions &amp; Computation'!E22</f>
        <v/>
      </c>
      <c r="E40" s="448" t="n"/>
    </row>
    <row r="41">
      <c r="B41" s="32" t="inlineStr">
        <is>
          <t>Additional monthly investments to be done</t>
        </is>
      </c>
      <c r="C41" s="440">
        <f>PMT(C40/12,C39*12,0,-C37)</f>
        <v/>
      </c>
      <c r="D41" s="440">
        <f>PMT(D40/12,D39*12,0,-D37)</f>
        <v/>
      </c>
      <c r="E41" s="440">
        <f>SUM(C41:D41)</f>
        <v/>
      </c>
      <c r="F41" s="22" t="inlineStr">
        <is>
          <t>This has one goal due in 20 years and other goal due in 24 years</t>
        </is>
      </c>
    </row>
    <row r="42" ht="15.5" customHeight="1">
      <c r="A42" s="22" t="n"/>
      <c r="B42" s="451" t="n"/>
      <c r="C42" s="448" t="n"/>
      <c r="D42" s="448" t="n"/>
      <c r="E42" s="448" t="n"/>
    </row>
    <row r="43" ht="15.5" customHeight="1">
      <c r="A43" s="22" t="n"/>
      <c r="B43" s="451" t="inlineStr">
        <is>
          <t>Less SIPs ongoing</t>
        </is>
      </c>
      <c r="C43" s="448" t="n"/>
      <c r="D43" s="448" t="n"/>
      <c r="E43" s="448">
        <f>SUM('11. Inc Exp,Networth,Rec Invest'!I15,'11. Inc Exp,Networth,Rec Invest'!I16,'11. Inc Exp,Networth,Rec Invest'!I19,'11. Inc Exp,Networth,Rec Invest'!I23)</f>
        <v/>
      </c>
    </row>
    <row r="44" ht="15.5" customHeight="1">
      <c r="A44" s="22" t="n"/>
      <c r="B44" s="452" t="inlineStr">
        <is>
          <t>Additional SIPs needed to reach goals</t>
        </is>
      </c>
      <c r="C44" s="257" t="n"/>
      <c r="D44" s="257" t="n"/>
      <c r="E44" s="440">
        <f>E41-E43</f>
        <v/>
      </c>
    </row>
    <row r="45" ht="15.5" customHeight="1">
      <c r="A45" s="22" t="n"/>
      <c r="B45" s="306" t="n"/>
      <c r="E45" s="509" t="n"/>
    </row>
    <row r="46" ht="15.5" customHeight="1">
      <c r="A46" s="22" t="n"/>
      <c r="B46" s="306" t="n"/>
      <c r="E46" s="509" t="n"/>
    </row>
    <row r="47">
      <c r="A47" s="22" t="n"/>
      <c r="B47" s="296" t="inlineStr">
        <is>
          <t xml:space="preserve">Stepping up investments </t>
        </is>
      </c>
    </row>
    <row r="48">
      <c r="B48" s="22" t="inlineStr">
        <is>
          <t>Stepping up of investments each year can help to start SIP with lower value. Also it helps to reach corpus creation at faster manner</t>
        </is>
      </c>
    </row>
    <row r="50" ht="15.5" customHeight="1">
      <c r="A50" s="22" t="inlineStr">
        <is>
          <t>Increase p.a</t>
        </is>
      </c>
      <c r="B50" s="345" t="inlineStr">
        <is>
          <t xml:space="preserve">3.      Total Retirement Corpus Calculation (If Step up investments are considered) </t>
        </is>
      </c>
    </row>
    <row r="51">
      <c r="B51" s="412" t="inlineStr">
        <is>
          <t>Suppose client has limitation on annual contribution, then we need to model how much step up can help him reach his goals</t>
        </is>
      </c>
      <c r="F51" s="435" t="n">
        <v>0.1</v>
      </c>
    </row>
    <row r="52" ht="42" customHeight="1">
      <c r="B52" s="51" t="n"/>
      <c r="C52" s="436" t="inlineStr">
        <is>
          <t>Years to retire</t>
        </is>
      </c>
      <c r="D52" s="437" t="inlineStr">
        <is>
          <t>Age of Mr. M</t>
        </is>
      </c>
      <c r="E52" s="437" t="inlineStr">
        <is>
          <t>Annual Retirement Contribution</t>
        </is>
      </c>
      <c r="F52" s="437" t="inlineStr">
        <is>
          <t>Step up increase in Annual Contribution</t>
        </is>
      </c>
      <c r="G52" s="438" t="inlineStr">
        <is>
          <t>Total Annual Contribution</t>
        </is>
      </c>
      <c r="H52" s="436" t="inlineStr">
        <is>
          <t xml:space="preserve">Current Corpus (Allocated for retirement) </t>
        </is>
      </c>
      <c r="I52" s="437" t="inlineStr">
        <is>
          <t>Rate p.a.</t>
        </is>
      </c>
      <c r="J52" s="437" t="inlineStr">
        <is>
          <t>Future Value at age 60</t>
        </is>
      </c>
      <c r="K52" s="32" t="inlineStr">
        <is>
          <t>Cumulative FV</t>
        </is>
      </c>
    </row>
    <row r="53">
      <c r="B53" s="32" t="inlineStr">
        <is>
          <t>One Time corpus to FV on date of Retirement</t>
        </is>
      </c>
      <c r="C53" s="257">
        <f>'1_Personal_Details'!H5-'1_Personal_Details'!D5</f>
        <v/>
      </c>
      <c r="D53" s="257">
        <f>'1_Personal_Details'!D5</f>
        <v/>
      </c>
      <c r="E53" s="51" t="n"/>
      <c r="F53" s="51" t="n"/>
      <c r="G53" s="439" t="n"/>
      <c r="H53" s="485">
        <f>'10_Financial_Goals'!X19</f>
        <v/>
      </c>
      <c r="I53" s="510">
        <f>'Assumptions &amp; Computation'!E22</f>
        <v/>
      </c>
      <c r="J53" s="158">
        <f>FV(I53,C53,,-H53)</f>
        <v/>
      </c>
      <c r="K53" s="157">
        <f>J53</f>
        <v/>
      </c>
    </row>
    <row r="54">
      <c r="B54" s="32" t="inlineStr">
        <is>
          <t>Annual Contribution to FV on date of retirement</t>
        </is>
      </c>
      <c r="C54" s="257">
        <f>C53</f>
        <v/>
      </c>
      <c r="D54" s="257">
        <f>D53</f>
        <v/>
      </c>
      <c r="E54" s="257">
        <f>1200000</f>
        <v/>
      </c>
      <c r="F54" s="257" t="n"/>
      <c r="G54" s="440">
        <f>SUM(E54:F54)</f>
        <v/>
      </c>
      <c r="H54" s="51" t="n"/>
      <c r="I54" s="510">
        <f>I53</f>
        <v/>
      </c>
      <c r="J54" s="158">
        <f>FV(I54,C54,,-G54)</f>
        <v/>
      </c>
      <c r="K54" s="157">
        <f>SUM(J$53:J54)</f>
        <v/>
      </c>
    </row>
    <row r="55">
      <c r="B55" s="51" t="n"/>
      <c r="C55" s="257">
        <f>MAX((C54-1),0)</f>
        <v/>
      </c>
      <c r="D55" s="257">
        <f>D54+1</f>
        <v/>
      </c>
      <c r="E55" s="257">
        <f>SUM(E54:F54)</f>
        <v/>
      </c>
      <c r="F55" s="257">
        <f>E55*F$51</f>
        <v/>
      </c>
      <c r="G55" s="440">
        <f>SUM(E55:F55)</f>
        <v/>
      </c>
      <c r="H55" s="51" t="n"/>
      <c r="I55" s="510">
        <f>I54</f>
        <v/>
      </c>
      <c r="J55" s="158">
        <f>FV(I55,C55,,-G55)</f>
        <v/>
      </c>
      <c r="K55" s="157">
        <f>SUM(J$53:J55)</f>
        <v/>
      </c>
    </row>
    <row r="56">
      <c r="B56" s="51" t="n"/>
      <c r="C56" s="257">
        <f>MAX((C55-1),0)</f>
        <v/>
      </c>
      <c r="D56" s="257">
        <f>D55+1</f>
        <v/>
      </c>
      <c r="E56" s="257">
        <f>SUM(E55:F55)</f>
        <v/>
      </c>
      <c r="F56" s="257">
        <f>E56*F$51</f>
        <v/>
      </c>
      <c r="G56" s="440">
        <f>SUM(E56:F56)</f>
        <v/>
      </c>
      <c r="H56" s="51" t="n"/>
      <c r="I56" s="510">
        <f>I55</f>
        <v/>
      </c>
      <c r="J56" s="158">
        <f>FV(I56,C56,,-G56)</f>
        <v/>
      </c>
      <c r="K56" s="157">
        <f>SUM(J$53:J56)</f>
        <v/>
      </c>
    </row>
    <row r="57">
      <c r="B57" s="51" t="n"/>
      <c r="C57" s="257">
        <f>MAX((C56-1),0)</f>
        <v/>
      </c>
      <c r="D57" s="257">
        <f>D56+1</f>
        <v/>
      </c>
      <c r="E57" s="257">
        <f>SUM(E56:F56)</f>
        <v/>
      </c>
      <c r="F57" s="257">
        <f>E57*F$51</f>
        <v/>
      </c>
      <c r="G57" s="440">
        <f>SUM(E57:F57)</f>
        <v/>
      </c>
      <c r="H57" s="51" t="n"/>
      <c r="I57" s="510">
        <f>I56</f>
        <v/>
      </c>
      <c r="J57" s="158">
        <f>FV(I57,C57,,-G57)</f>
        <v/>
      </c>
      <c r="K57" s="157">
        <f>SUM(J$53:J57)</f>
        <v/>
      </c>
    </row>
    <row r="58">
      <c r="B58" s="51" t="n"/>
      <c r="C58" s="257">
        <f>MAX((C57-1),0)</f>
        <v/>
      </c>
      <c r="D58" s="257">
        <f>D57+1</f>
        <v/>
      </c>
      <c r="E58" s="257">
        <f>SUM(E57:F57)</f>
        <v/>
      </c>
      <c r="F58" s="257">
        <f>E58*F$51</f>
        <v/>
      </c>
      <c r="G58" s="440">
        <f>SUM(E58:F58)</f>
        <v/>
      </c>
      <c r="H58" s="51" t="n"/>
      <c r="I58" s="510">
        <f>I57</f>
        <v/>
      </c>
      <c r="J58" s="158">
        <f>FV(I58,C58,,-G58)</f>
        <v/>
      </c>
      <c r="K58" s="157">
        <f>SUM(J$53:J58)</f>
        <v/>
      </c>
    </row>
    <row r="59">
      <c r="B59" s="51" t="n"/>
      <c r="C59" s="257">
        <f>MAX((C58-1),0)</f>
        <v/>
      </c>
      <c r="D59" s="257">
        <f>D58+1</f>
        <v/>
      </c>
      <c r="E59" s="257">
        <f>SUM(E58:F58)</f>
        <v/>
      </c>
      <c r="F59" s="257">
        <f>E59*F$51</f>
        <v/>
      </c>
      <c r="G59" s="440">
        <f>SUM(E59:F59)</f>
        <v/>
      </c>
      <c r="H59" s="51" t="n"/>
      <c r="I59" s="510">
        <f>I58</f>
        <v/>
      </c>
      <c r="J59" s="158">
        <f>FV(I59,C59,,-G59)</f>
        <v/>
      </c>
      <c r="K59" s="157">
        <f>SUM(J$53:J59)</f>
        <v/>
      </c>
    </row>
    <row r="60">
      <c r="B60" s="51" t="n"/>
      <c r="C60" s="257">
        <f>MAX((C59-1),0)</f>
        <v/>
      </c>
      <c r="D60" s="257">
        <f>D59+1</f>
        <v/>
      </c>
      <c r="E60" s="257">
        <f>SUM(E59:F59)</f>
        <v/>
      </c>
      <c r="F60" s="257">
        <f>E60*F$51</f>
        <v/>
      </c>
      <c r="G60" s="440">
        <f>SUM(E60:F60)</f>
        <v/>
      </c>
      <c r="H60" s="51" t="n"/>
      <c r="I60" s="510">
        <f>I59</f>
        <v/>
      </c>
      <c r="J60" s="158">
        <f>FV(I60,C60,,-G60)</f>
        <v/>
      </c>
      <c r="K60" s="157">
        <f>SUM(J$53:J60)</f>
        <v/>
      </c>
    </row>
    <row r="61">
      <c r="B61" s="51" t="n"/>
      <c r="C61" s="257">
        <f>MAX((C60-1),0)</f>
        <v/>
      </c>
      <c r="D61" s="257">
        <f>D60+1</f>
        <v/>
      </c>
      <c r="E61" s="257">
        <f>SUM(E60:F60)</f>
        <v/>
      </c>
      <c r="F61" s="257">
        <f>E61*F$51</f>
        <v/>
      </c>
      <c r="G61" s="440">
        <f>SUM(E61:F61)</f>
        <v/>
      </c>
      <c r="H61" s="51" t="n"/>
      <c r="I61" s="510">
        <f>I60</f>
        <v/>
      </c>
      <c r="J61" s="158">
        <f>FV(I61,C61,,-G61)</f>
        <v/>
      </c>
      <c r="K61" s="157">
        <f>SUM(J$53:J61)</f>
        <v/>
      </c>
    </row>
    <row r="62">
      <c r="B62" s="51" t="n"/>
      <c r="C62" s="257">
        <f>MAX((C61-1),0)</f>
        <v/>
      </c>
      <c r="D62" s="257">
        <f>D61+1</f>
        <v/>
      </c>
      <c r="E62" s="257">
        <f>SUM(E61:F61)</f>
        <v/>
      </c>
      <c r="F62" s="257">
        <f>E62*F$51</f>
        <v/>
      </c>
      <c r="G62" s="440">
        <f>SUM(E62:F62)</f>
        <v/>
      </c>
      <c r="H62" s="51" t="n"/>
      <c r="I62" s="510">
        <f>I61</f>
        <v/>
      </c>
      <c r="J62" s="158">
        <f>FV(I62,C62,,-G62)</f>
        <v/>
      </c>
      <c r="K62" s="157">
        <f>SUM(J$53:J62)</f>
        <v/>
      </c>
    </row>
    <row r="63">
      <c r="B63" s="51" t="n"/>
      <c r="C63" s="257">
        <f>MAX((C62-1),0)</f>
        <v/>
      </c>
      <c r="D63" s="257">
        <f>D62+1</f>
        <v/>
      </c>
      <c r="E63" s="257">
        <f>SUM(E62:F62)</f>
        <v/>
      </c>
      <c r="F63" s="257">
        <f>E63*F$51</f>
        <v/>
      </c>
      <c r="G63" s="440">
        <f>SUM(E63:F63)</f>
        <v/>
      </c>
      <c r="H63" s="51" t="n"/>
      <c r="I63" s="510">
        <f>I62</f>
        <v/>
      </c>
      <c r="J63" s="158">
        <f>FV(I63,C63,,-G63)</f>
        <v/>
      </c>
      <c r="K63" s="157">
        <f>SUM(J$53:J63)</f>
        <v/>
      </c>
    </row>
    <row r="64">
      <c r="B64" s="51" t="n"/>
      <c r="C64" s="257">
        <f>MAX((C63-1),0)</f>
        <v/>
      </c>
      <c r="D64" s="257">
        <f>D63+1</f>
        <v/>
      </c>
      <c r="E64" s="257">
        <f>SUM(E63:F63)</f>
        <v/>
      </c>
      <c r="F64" s="257">
        <f>E64*F$51</f>
        <v/>
      </c>
      <c r="G64" s="440">
        <f>SUM(E64:F64)</f>
        <v/>
      </c>
      <c r="H64" s="51" t="n"/>
      <c r="I64" s="510">
        <f>I63</f>
        <v/>
      </c>
      <c r="J64" s="158">
        <f>FV(I64,C64,,-G64)</f>
        <v/>
      </c>
      <c r="K64" s="157">
        <f>SUM(J$53:J64)</f>
        <v/>
      </c>
    </row>
    <row r="65">
      <c r="B65" s="51" t="n"/>
      <c r="C65" s="257">
        <f>MAX((C64-1),0)</f>
        <v/>
      </c>
      <c r="D65" s="257">
        <f>D64+1</f>
        <v/>
      </c>
      <c r="E65" s="257">
        <f>SUM(E64:F64)</f>
        <v/>
      </c>
      <c r="F65" s="257">
        <f>E65*F$51</f>
        <v/>
      </c>
      <c r="G65" s="440">
        <f>SUM(E65:F65)</f>
        <v/>
      </c>
      <c r="H65" s="51" t="n"/>
      <c r="I65" s="510">
        <f>I64</f>
        <v/>
      </c>
      <c r="J65" s="158">
        <f>FV(I65,C65,,-G65)</f>
        <v/>
      </c>
      <c r="K65" s="157">
        <f>SUM(J$53:J65)</f>
        <v/>
      </c>
    </row>
    <row r="66">
      <c r="B66" s="51" t="n"/>
      <c r="C66" s="257">
        <f>MAX((C65-1),0)</f>
        <v/>
      </c>
      <c r="D66" s="257">
        <f>D65+1</f>
        <v/>
      </c>
      <c r="E66" s="257">
        <f>SUM(E65:F65)</f>
        <v/>
      </c>
      <c r="F66" s="257">
        <f>E66*F$51</f>
        <v/>
      </c>
      <c r="G66" s="440">
        <f>SUM(E66:F66)</f>
        <v/>
      </c>
      <c r="H66" s="51" t="n"/>
      <c r="I66" s="510">
        <f>I65</f>
        <v/>
      </c>
      <c r="J66" s="158">
        <f>FV(I66,C66,,-G66)</f>
        <v/>
      </c>
      <c r="K66" s="157">
        <f>SUM(J$53:J66)</f>
        <v/>
      </c>
    </row>
    <row r="67">
      <c r="B67" s="51" t="n"/>
      <c r="C67" s="257">
        <f>MAX((C66-1),0)</f>
        <v/>
      </c>
      <c r="D67" s="257">
        <f>D66+1</f>
        <v/>
      </c>
      <c r="E67" s="257">
        <f>SUM(E66:F66)</f>
        <v/>
      </c>
      <c r="F67" s="257">
        <f>E67*F$51</f>
        <v/>
      </c>
      <c r="G67" s="440">
        <f>SUM(E67:F67)</f>
        <v/>
      </c>
      <c r="H67" s="51" t="n"/>
      <c r="I67" s="510">
        <f>I66</f>
        <v/>
      </c>
      <c r="J67" s="158">
        <f>FV(I67,C67,,-G67)</f>
        <v/>
      </c>
      <c r="K67" s="157">
        <f>SUM(J$53:J67)</f>
        <v/>
      </c>
    </row>
    <row r="68">
      <c r="B68" s="51" t="n"/>
      <c r="C68" s="257">
        <f>MAX((C67-1),0)</f>
        <v/>
      </c>
      <c r="D68" s="257">
        <f>D67+1</f>
        <v/>
      </c>
      <c r="E68" s="257">
        <f>SUM(E67:F67)</f>
        <v/>
      </c>
      <c r="F68" s="257">
        <f>E68*F$51</f>
        <v/>
      </c>
      <c r="G68" s="440">
        <f>SUM(E68:F68)</f>
        <v/>
      </c>
      <c r="H68" s="51" t="n"/>
      <c r="I68" s="510">
        <f>I67</f>
        <v/>
      </c>
      <c r="J68" s="158">
        <f>FV(I68,C68,,-G68)</f>
        <v/>
      </c>
      <c r="K68" s="157">
        <f>SUM(J$53:J68)</f>
        <v/>
      </c>
    </row>
    <row r="69">
      <c r="B69" s="51" t="n"/>
      <c r="C69" s="257">
        <f>MAX((C68-1),0)</f>
        <v/>
      </c>
      <c r="D69" s="257">
        <f>D68+1</f>
        <v/>
      </c>
      <c r="E69" s="257">
        <f>SUM(E68:F68)</f>
        <v/>
      </c>
      <c r="F69" s="257">
        <f>E69*F$51</f>
        <v/>
      </c>
      <c r="G69" s="440">
        <f>SUM(E69:F69)</f>
        <v/>
      </c>
      <c r="H69" s="51" t="n"/>
      <c r="I69" s="510">
        <f>I68</f>
        <v/>
      </c>
      <c r="J69" s="158">
        <f>FV(I69,C69,,-G69)</f>
        <v/>
      </c>
      <c r="K69" s="157">
        <f>SUM(J$53:J69)</f>
        <v/>
      </c>
    </row>
    <row r="70">
      <c r="B70" s="51" t="n"/>
      <c r="C70" s="257">
        <f>MAX((C69-1),0)</f>
        <v/>
      </c>
      <c r="D70" s="257">
        <f>D69+1</f>
        <v/>
      </c>
      <c r="E70" s="257">
        <f>SUM(E69:F69)</f>
        <v/>
      </c>
      <c r="F70" s="257">
        <f>E70*F$51</f>
        <v/>
      </c>
      <c r="G70" s="440">
        <f>SUM(E70:F70)</f>
        <v/>
      </c>
      <c r="H70" s="51" t="n"/>
      <c r="I70" s="510">
        <f>I69</f>
        <v/>
      </c>
      <c r="J70" s="158">
        <f>FV(I70,C70,,-G70)</f>
        <v/>
      </c>
      <c r="K70" s="157">
        <f>SUM(J$53:J70)</f>
        <v/>
      </c>
    </row>
    <row r="71">
      <c r="B71" s="51" t="n"/>
      <c r="C71" s="257">
        <f>MAX((C70-1),0)</f>
        <v/>
      </c>
      <c r="D71" s="257">
        <f>D70+1</f>
        <v/>
      </c>
      <c r="E71" s="257">
        <f>SUM(E70:F70)</f>
        <v/>
      </c>
      <c r="F71" s="257">
        <f>E71*F$51</f>
        <v/>
      </c>
      <c r="G71" s="440">
        <f>SUM(E71:F71)</f>
        <v/>
      </c>
      <c r="H71" s="51" t="n"/>
      <c r="I71" s="510">
        <f>I70</f>
        <v/>
      </c>
      <c r="J71" s="158">
        <f>FV(I71,C71,,-G71)</f>
        <v/>
      </c>
      <c r="K71" s="157">
        <f>SUM(J$53:J71)</f>
        <v/>
      </c>
    </row>
    <row r="72">
      <c r="B72" s="51" t="n"/>
      <c r="C72" s="257">
        <f>MAX((C71-1),0)</f>
        <v/>
      </c>
      <c r="D72" s="257">
        <f>D71+1</f>
        <v/>
      </c>
      <c r="E72" s="257">
        <f>SUM(E71:F71)</f>
        <v/>
      </c>
      <c r="F72" s="257">
        <f>E72*F$51</f>
        <v/>
      </c>
      <c r="G72" s="440">
        <f>SUM(E72:F72)</f>
        <v/>
      </c>
      <c r="H72" s="51" t="n"/>
      <c r="I72" s="510">
        <f>I71</f>
        <v/>
      </c>
      <c r="J72" s="158">
        <f>FV(I72,C72,,-G72)</f>
        <v/>
      </c>
      <c r="K72" s="157">
        <f>SUM(J$53:J72)</f>
        <v/>
      </c>
    </row>
    <row r="73">
      <c r="B73" s="51" t="n"/>
      <c r="C73" s="257">
        <f>MAX((C72-1),0)</f>
        <v/>
      </c>
      <c r="D73" s="257">
        <f>D72+1</f>
        <v/>
      </c>
      <c r="E73" s="257">
        <f>SUM(E72:F72)</f>
        <v/>
      </c>
      <c r="F73" s="257">
        <f>E73*F$51</f>
        <v/>
      </c>
      <c r="G73" s="440">
        <f>SUM(E73:F73)</f>
        <v/>
      </c>
      <c r="H73" s="51" t="n"/>
      <c r="I73" s="510">
        <f>I72</f>
        <v/>
      </c>
      <c r="J73" s="158">
        <f>FV(I73,C73,,-G73)</f>
        <v/>
      </c>
      <c r="K73" s="157">
        <f>SUM(J$53:J73)</f>
        <v/>
      </c>
    </row>
    <row r="74">
      <c r="B74" s="51" t="n"/>
      <c r="C74" s="257" t="n"/>
      <c r="D74" s="257" t="n"/>
      <c r="E74" s="51" t="n"/>
      <c r="F74" s="51" t="n"/>
      <c r="G74" s="439" t="n"/>
      <c r="H74" s="51" t="n"/>
      <c r="I74" s="51" t="n"/>
      <c r="J74" s="51" t="n"/>
      <c r="K74" s="51" t="n"/>
    </row>
    <row r="75">
      <c r="B75" s="51" t="n"/>
      <c r="C75" s="257" t="n"/>
      <c r="D75" s="257" t="n"/>
      <c r="E75" s="51" t="n"/>
      <c r="F75" s="51" t="n"/>
      <c r="G75" s="51" t="n"/>
      <c r="H75" s="51" t="n"/>
      <c r="I75" s="51" t="n"/>
      <c r="J75" s="51" t="n"/>
      <c r="K75" s="51" t="n"/>
    </row>
    <row r="76">
      <c r="B76" s="51" t="n"/>
      <c r="C76" s="257" t="n"/>
      <c r="D76" s="257" t="n"/>
      <c r="E76" s="51" t="n"/>
      <c r="F76" s="51" t="n"/>
      <c r="G76" s="51" t="n"/>
      <c r="H76" s="32" t="inlineStr">
        <is>
          <t>Retirement Corpus Needed</t>
        </is>
      </c>
      <c r="I76" s="51" t="n"/>
      <c r="J76" s="51" t="n"/>
      <c r="K76" s="172">
        <f>E30</f>
        <v/>
      </c>
    </row>
    <row r="77">
      <c r="B77" s="51" t="n"/>
      <c r="C77" s="257" t="n"/>
      <c r="D77" s="257" t="n"/>
      <c r="E77" s="51" t="n"/>
      <c r="F77" s="51" t="n"/>
      <c r="G77" s="51" t="n"/>
      <c r="H77" s="32" t="inlineStr">
        <is>
          <t>Excess/Gap in Retirement Corpus</t>
        </is>
      </c>
      <c r="I77" s="51" t="n"/>
      <c r="J77" s="51" t="n"/>
      <c r="K77" s="172">
        <f>K73-K76</f>
        <v/>
      </c>
      <c r="L77" s="125" t="n"/>
    </row>
    <row r="78">
      <c r="B78" s="51" t="n"/>
      <c r="C78" s="257" t="n"/>
      <c r="D78" s="257" t="n"/>
      <c r="E78" s="51" t="n"/>
      <c r="F78" s="51" t="n"/>
      <c r="G78" s="51" t="n"/>
      <c r="H78" s="51" t="n"/>
      <c r="I78" s="51" t="n"/>
      <c r="J78" s="51" t="n"/>
      <c r="K78" s="416">
        <f>K77/K76</f>
        <v/>
      </c>
    </row>
    <row r="79">
      <c r="B79" s="51" t="n"/>
      <c r="C79" s="257" t="n"/>
      <c r="D79" s="257" t="n"/>
      <c r="E79" s="51" t="n"/>
      <c r="F79" s="51" t="n"/>
      <c r="G79" s="51" t="n"/>
      <c r="H79" s="51" t="n"/>
      <c r="I79" s="51" t="n"/>
      <c r="J79" s="51" t="n"/>
      <c r="K79" s="51" t="n"/>
    </row>
    <row r="80">
      <c r="C80" s="152" t="n"/>
      <c r="D80" s="152" t="n"/>
    </row>
    <row r="81">
      <c r="C81" s="152" t="n"/>
      <c r="D81" s="152" t="n"/>
    </row>
    <row r="82">
      <c r="C82" s="152" t="n"/>
      <c r="D82" s="152" t="n"/>
    </row>
    <row r="84">
      <c r="B84" s="296" t="inlineStr">
        <is>
          <t>Accumulation Products</t>
        </is>
      </c>
    </row>
    <row r="85">
      <c r="B85" s="22" t="inlineStr">
        <is>
          <t>PFs, Pension Funds, Mutual Funds etc</t>
        </is>
      </c>
    </row>
    <row r="88">
      <c r="B88" s="296" t="inlineStr">
        <is>
          <t>Distribution Products</t>
        </is>
      </c>
    </row>
    <row r="89">
      <c r="B89" s="22" t="inlineStr">
        <is>
          <t xml:space="preserve">Annuity from Pensions, SWP from MF (beneficial as no tax is there on capital withdrawl portion) </t>
        </is>
      </c>
    </row>
    <row r="91" ht="14.5" customHeight="1" thickBot="1"/>
    <row r="92" ht="41" customHeight="1" thickBot="1">
      <c r="B92" s="129" t="inlineStr">
        <is>
          <t>Estimate of Retirement Expenses</t>
        </is>
      </c>
      <c r="C92" s="129" t="inlineStr">
        <is>
          <t>Retirement Expenses</t>
        </is>
      </c>
      <c r="D92" s="129" t="inlineStr">
        <is>
          <t>Retirement Expenses</t>
        </is>
      </c>
      <c r="E92" s="129" t="inlineStr">
        <is>
          <t>Retirement Expenses</t>
        </is>
      </c>
      <c r="F92" s="434" t="inlineStr">
        <is>
          <t>Sample format for estimating retirement expenses</t>
        </is>
      </c>
    </row>
    <row r="93" ht="16" customHeight="1" thickBot="1">
      <c r="B93" s="472" t="inlineStr">
        <is>
          <t>Current monthly expenditure</t>
        </is>
      </c>
      <c r="C93" s="131" t="inlineStr">
        <is>
          <t>Input</t>
        </is>
      </c>
      <c r="D93" s="132" t="inlineStr">
        <is>
          <t>Rs.</t>
        </is>
      </c>
      <c r="E93" s="132" t="n"/>
    </row>
    <row r="94" ht="16" customHeight="1" thickBot="1">
      <c r="B94" s="472" t="inlineStr">
        <is>
          <t>Additional monthly expenditure (health / misc.)</t>
        </is>
      </c>
      <c r="C94" s="131" t="inlineStr">
        <is>
          <t>Input</t>
        </is>
      </c>
      <c r="D94" s="132" t="inlineStr">
        <is>
          <t>Rs.</t>
        </is>
      </c>
      <c r="E94" s="132" t="n"/>
    </row>
    <row r="95" ht="16" customHeight="1" thickBot="1">
      <c r="B95" s="472" t="inlineStr">
        <is>
          <t>Expected general inflation upto age of retirement</t>
        </is>
      </c>
      <c r="C95" s="132" t="inlineStr">
        <is>
          <t>Input</t>
        </is>
      </c>
      <c r="D95" s="132" t="inlineStr">
        <is>
          <t>%</t>
        </is>
      </c>
      <c r="E95" s="133" t="n"/>
    </row>
    <row r="96" ht="16" customHeight="1" thickBot="1">
      <c r="B96" s="472" t="inlineStr">
        <is>
          <t>Expected health inflation upto age of retirement</t>
        </is>
      </c>
      <c r="C96" s="132" t="inlineStr">
        <is>
          <t>Input</t>
        </is>
      </c>
      <c r="D96" s="132" t="inlineStr">
        <is>
          <t>%</t>
        </is>
      </c>
      <c r="E96" s="133" t="n"/>
    </row>
    <row r="97" ht="16" customHeight="1" thickBot="1">
      <c r="B97" s="472" t="inlineStr">
        <is>
          <t>Monthly general expenditure at retirement age</t>
        </is>
      </c>
      <c r="C97" s="131" t="n"/>
      <c r="D97" s="132" t="inlineStr">
        <is>
          <t>Rs.</t>
        </is>
      </c>
      <c r="E97" s="132" t="n"/>
    </row>
    <row r="98" ht="16" customHeight="1" thickBot="1">
      <c r="B98" s="472" t="inlineStr">
        <is>
          <t>Additional Monthly health expenditure at retirement age</t>
        </is>
      </c>
      <c r="C98" s="131" t="n"/>
      <c r="D98" s="132" t="inlineStr">
        <is>
          <t>Rs.</t>
        </is>
      </c>
      <c r="E98" s="132" t="n"/>
    </row>
    <row r="99" ht="16" customHeight="1" thickBot="1">
      <c r="B99" s="472" t="inlineStr">
        <is>
          <t>Total monthly expenditure at retirement age</t>
        </is>
      </c>
      <c r="C99" s="131" t="n"/>
      <c r="D99" s="132" t="inlineStr">
        <is>
          <t>Rs.</t>
        </is>
      </c>
      <c r="E99" s="134" t="n"/>
    </row>
    <row r="100" ht="31.5" customHeight="1" thickBot="1">
      <c r="B100" s="472" t="inlineStr">
        <is>
          <t>Any other monthly income available post retirement</t>
        </is>
      </c>
      <c r="C100" s="132" t="inlineStr">
        <is>
          <t>Business Income</t>
        </is>
      </c>
      <c r="D100" s="132" t="inlineStr">
        <is>
          <t>Rs.</t>
        </is>
      </c>
      <c r="E100" s="131" t="n"/>
    </row>
    <row r="101" ht="16" customHeight="1" thickBot="1">
      <c r="B101" s="472" t="inlineStr">
        <is>
          <t>Reduction due to maintenance and taxes</t>
        </is>
      </c>
      <c r="C101" s="131" t="n"/>
      <c r="D101" s="132" t="inlineStr">
        <is>
          <t>Rs.</t>
        </is>
      </c>
      <c r="E101" s="132" t="n"/>
    </row>
    <row r="102" ht="16" customHeight="1" thickBot="1">
      <c r="B102" s="472" t="inlineStr">
        <is>
          <t>Monthly Income (if any) at the time of retirement</t>
        </is>
      </c>
      <c r="C102" s="131" t="n"/>
      <c r="D102" s="132" t="inlineStr">
        <is>
          <t>Rs.</t>
        </is>
      </c>
      <c r="E102" s="132" t="n"/>
    </row>
    <row r="103" ht="16" customHeight="1" thickBot="1">
      <c r="B103" s="472" t="inlineStr">
        <is>
          <t>Total yearly outflow at retirement age</t>
        </is>
      </c>
      <c r="C103" s="135" t="n"/>
      <c r="D103" s="132" t="inlineStr">
        <is>
          <t>Rs. (Lacs)</t>
        </is>
      </c>
      <c r="E103" s="136" t="n"/>
    </row>
    <row r="104" ht="16" customHeight="1" thickBot="1">
      <c r="B104" s="137" t="inlineStr">
        <is>
          <t>Fund required at the time of Retirement</t>
        </is>
      </c>
      <c r="C104" s="138" t="n"/>
      <c r="D104" s="139" t="inlineStr">
        <is>
          <t>Rs. (Lacs)</t>
        </is>
      </c>
      <c r="E104" s="511" t="n"/>
    </row>
    <row r="105" ht="15.5" customHeight="1">
      <c r="B105" s="141" t="n"/>
      <c r="C105" s="142" t="n"/>
      <c r="D105" s="142" t="n"/>
      <c r="E105" s="142" t="n"/>
    </row>
    <row r="106" ht="16" customHeight="1" thickBot="1">
      <c r="B106" s="470" t="inlineStr">
        <is>
          <t>Adjusting that with available asset allocation</t>
        </is>
      </c>
      <c r="C106" s="512" t="n"/>
      <c r="D106" s="512" t="n"/>
      <c r="E106" s="512" t="n"/>
    </row>
    <row r="107" ht="16" customHeight="1" thickBot="1">
      <c r="B107" s="472" t="inlineStr">
        <is>
          <t>Current yearly investment in EPF &amp; NPS</t>
        </is>
      </c>
      <c r="C107" s="132" t="inlineStr">
        <is>
          <t>Input</t>
        </is>
      </c>
      <c r="D107" s="132" t="inlineStr">
        <is>
          <t>Rs. (Lacs)</t>
        </is>
      </c>
      <c r="E107" s="132" t="n"/>
    </row>
    <row r="108" ht="16" customHeight="1" thickBot="1">
      <c r="B108" s="472" t="inlineStr">
        <is>
          <t>Yearly increase in EPF &amp; NPS</t>
        </is>
      </c>
      <c r="C108" s="132" t="inlineStr">
        <is>
          <t>Input</t>
        </is>
      </c>
      <c r="D108" s="132" t="inlineStr">
        <is>
          <t>%</t>
        </is>
      </c>
      <c r="E108" s="143" t="n"/>
    </row>
    <row r="109" ht="16" customHeight="1" thickBot="1">
      <c r="B109" s="472" t="inlineStr">
        <is>
          <t>Interest rate on EPF &amp; NPS</t>
        </is>
      </c>
      <c r="C109" s="132" t="inlineStr">
        <is>
          <t>Input</t>
        </is>
      </c>
      <c r="D109" s="132" t="inlineStr">
        <is>
          <t>%</t>
        </is>
      </c>
      <c r="E109" s="143" t="n"/>
    </row>
    <row r="110" ht="16" customHeight="1" thickBot="1">
      <c r="B110" s="472" t="inlineStr">
        <is>
          <t>Future value of EPF &amp; NPS at the time of retirement</t>
        </is>
      </c>
      <c r="C110" s="132" t="inlineStr">
        <is>
          <t>Input</t>
        </is>
      </c>
      <c r="D110" s="132" t="inlineStr">
        <is>
          <t>Rs. (Lacs)</t>
        </is>
      </c>
      <c r="E110" s="513" t="n"/>
      <c r="F110" s="486">
        <f>FV(8%,19,-E107,0)</f>
        <v/>
      </c>
    </row>
    <row r="111" ht="15.5" customHeight="1">
      <c r="B111" s="514" t="inlineStr">
        <is>
          <t>Current fund in EPF &amp; any other asset allocated for Retirement goal</t>
        </is>
      </c>
      <c r="C111" s="146" t="n"/>
      <c r="D111" s="146" t="n"/>
      <c r="E111" s="146" t="n"/>
    </row>
    <row r="112" ht="16" customHeight="1" thickBot="1">
      <c r="B112" s="515" t="n"/>
      <c r="C112" s="132" t="inlineStr">
        <is>
          <t>Input</t>
        </is>
      </c>
      <c r="D112" s="132" t="inlineStr">
        <is>
          <t>Rs. (Lacs)</t>
        </is>
      </c>
      <c r="E112" s="516" t="n"/>
    </row>
    <row r="113" ht="16" customHeight="1" thickBot="1">
      <c r="B113" s="472" t="inlineStr">
        <is>
          <t>Future value EPF &amp; asset allocated for Retirement</t>
        </is>
      </c>
      <c r="C113" s="131" t="n"/>
      <c r="D113" s="132" t="inlineStr">
        <is>
          <t>Rs. (Lacs)</t>
        </is>
      </c>
      <c r="E113" s="513" t="n"/>
    </row>
    <row r="114" ht="16" customHeight="1" thickBot="1">
      <c r="B114" s="137" t="inlineStr">
        <is>
          <t>Amount required after adjustment</t>
        </is>
      </c>
      <c r="C114" s="138" t="n"/>
      <c r="D114" s="139" t="inlineStr">
        <is>
          <t>Rs. (Lacs)</t>
        </is>
      </c>
      <c r="E114" s="511" t="n"/>
    </row>
    <row r="115" ht="15.5" customHeight="1">
      <c r="B115" s="142" t="n"/>
      <c r="C115" s="142" t="n"/>
      <c r="D115" s="142" t="n"/>
      <c r="E115" s="142" t="n"/>
    </row>
    <row r="116" ht="15.5" customHeight="1">
      <c r="B116" s="148" t="inlineStr">
        <is>
          <t>Monthly EMI needed to reach goals</t>
        </is>
      </c>
      <c r="C116" s="148" t="n"/>
      <c r="D116" s="148" t="n"/>
      <c r="E116" s="517" t="n"/>
    </row>
    <row r="120">
      <c r="F120" s="153" t="n"/>
    </row>
    <row r="121">
      <c r="B121" s="154" t="inlineStr">
        <is>
          <t xml:space="preserve">Note : Apartment can be used as reversed mortgage (In case of further fund needed post age of 60) </t>
        </is>
      </c>
      <c r="C121" s="151" t="n"/>
    </row>
  </sheetData>
  <mergeCells count="2">
    <mergeCell ref="B106:E106"/>
    <mergeCell ref="B111:B112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AE1019"/>
  <sheetViews>
    <sheetView showGridLines="0" workbookViewId="0">
      <pane xSplit="1" ySplit="2" topLeftCell="X6" activePane="bottomRight" state="frozen"/>
      <selection activeCell="B7" sqref="B7"/>
      <selection pane="topRight" activeCell="B7" sqref="B7"/>
      <selection pane="bottomLeft" activeCell="B7" sqref="B7"/>
      <selection pane="bottomRight" activeCell="AC20" sqref="AC20"/>
    </sheetView>
  </sheetViews>
  <sheetFormatPr baseColWidth="8" defaultColWidth="12.6640625" defaultRowHeight="15" customHeight="1"/>
  <cols>
    <col width="33" customWidth="1" min="1" max="1"/>
    <col width="14.1640625" customWidth="1" min="2" max="2"/>
    <col width="20.4140625" customWidth="1" min="3" max="4"/>
    <col width="17.4140625" customWidth="1" min="5" max="5"/>
    <col width="14.25" customWidth="1" min="6" max="6"/>
    <col width="19.6640625" customWidth="1" min="7" max="7"/>
    <col width="20.75" customWidth="1" min="8" max="8"/>
    <col width="22.5" customWidth="1" min="9" max="9"/>
    <col width="14.4140625" customWidth="1" min="10" max="26"/>
    <col width="15" bestFit="1" customWidth="1" min="27" max="27"/>
    <col width="16.5" customWidth="1" min="31" max="31"/>
  </cols>
  <sheetData>
    <row r="1" ht="15" customHeight="1">
      <c r="J1" s="164" t="inlineStr">
        <is>
          <t>Cash Flow arrangements : After allocating Assets to respective Goals</t>
        </is>
      </c>
      <c r="K1" s="165" t="n"/>
      <c r="L1" s="164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166" t="inlineStr">
        <is>
          <t>Total</t>
        </is>
      </c>
      <c r="Y1" s="167" t="n"/>
      <c r="Z1" s="167" t="n"/>
      <c r="AA1" s="51" t="n"/>
      <c r="AB1" s="51" t="n"/>
      <c r="AC1" s="51" t="n"/>
      <c r="AD1" s="51" t="n"/>
      <c r="AE1" s="51" t="n"/>
    </row>
    <row r="2" ht="52" customHeight="1">
      <c r="A2" s="27" t="inlineStr">
        <is>
          <t>Goal</t>
        </is>
      </c>
      <c r="B2" s="27" t="inlineStr">
        <is>
          <t>Importance (Essential / Desirable)</t>
        </is>
      </c>
      <c r="C2" s="27" t="inlineStr">
        <is>
          <t>Target Year</t>
        </is>
      </c>
      <c r="D2" s="27" t="inlineStr">
        <is>
          <t>Years to go</t>
        </is>
      </c>
      <c r="E2" s="27" t="inlineStr">
        <is>
          <t>Today’s Cost</t>
        </is>
      </c>
      <c r="F2" s="27" t="inlineStr">
        <is>
          <t>Nature Of Spend (One Time Or Annual)</t>
        </is>
      </c>
      <c r="G2" s="27" t="inlineStr">
        <is>
          <t>Inflation Assumed</t>
        </is>
      </c>
      <c r="H2" s="27" t="inlineStr">
        <is>
          <t>Future Value Needed</t>
        </is>
      </c>
      <c r="I2" s="27" t="inlineStr">
        <is>
          <t>Optional Remarks /Comments</t>
        </is>
      </c>
      <c r="J2" s="27" t="inlineStr">
        <is>
          <t>Asset</t>
        </is>
      </c>
      <c r="K2" s="27" t="inlineStr">
        <is>
          <t>Current Value (INR)</t>
        </is>
      </c>
      <c r="L2" s="27" t="inlineStr">
        <is>
          <t>Asset</t>
        </is>
      </c>
      <c r="M2" s="27" t="inlineStr">
        <is>
          <t>Current Value (INR)</t>
        </is>
      </c>
      <c r="N2" s="27" t="inlineStr">
        <is>
          <t>Asset</t>
        </is>
      </c>
      <c r="O2" s="27" t="inlineStr">
        <is>
          <t>Current Value (INR)</t>
        </is>
      </c>
      <c r="P2" s="27" t="inlineStr">
        <is>
          <t>Asset</t>
        </is>
      </c>
      <c r="Q2" s="27" t="inlineStr">
        <is>
          <t>Current Value (INR)</t>
        </is>
      </c>
      <c r="R2" s="27" t="inlineStr">
        <is>
          <t>Asset</t>
        </is>
      </c>
      <c r="S2" s="27" t="inlineStr">
        <is>
          <t>Current Value (INR)</t>
        </is>
      </c>
      <c r="T2" s="27" t="inlineStr">
        <is>
          <t>Asset</t>
        </is>
      </c>
      <c r="U2" s="27" t="inlineStr">
        <is>
          <t>Current Value (INR)</t>
        </is>
      </c>
      <c r="V2" s="27" t="inlineStr">
        <is>
          <t>Asset</t>
        </is>
      </c>
      <c r="W2" s="27" t="inlineStr">
        <is>
          <t>Current Value (INR)</t>
        </is>
      </c>
      <c r="X2" s="27" t="inlineStr">
        <is>
          <t>Total Current Value of Asset Allocated</t>
        </is>
      </c>
      <c r="Y2" s="27" t="inlineStr">
        <is>
          <t>Gap on today's value</t>
        </is>
      </c>
      <c r="Z2" s="27" t="inlineStr">
        <is>
          <t>FV of needs (unallocated assets)</t>
        </is>
      </c>
      <c r="AA2" s="163" t="inlineStr">
        <is>
          <t>ROI (Post Tax) on planned EMIs</t>
        </is>
      </c>
      <c r="AB2" s="163" t="inlineStr">
        <is>
          <t>Monthly Investments  Needed</t>
        </is>
      </c>
      <c r="AC2" s="163" t="inlineStr">
        <is>
          <t xml:space="preserve">Monthly investments already happening </t>
        </is>
      </c>
      <c r="AD2" s="163" t="inlineStr">
        <is>
          <t>Remaining Monthly investments needed</t>
        </is>
      </c>
      <c r="AE2" s="163" t="inlineStr">
        <is>
          <t>Investment Mode</t>
        </is>
      </c>
    </row>
    <row r="3" ht="14.5" customHeight="1">
      <c r="A3" s="3" t="inlineStr">
        <is>
          <t>Car Purchase</t>
        </is>
      </c>
      <c r="B3" s="3" t="n"/>
      <c r="C3" s="92" t="n"/>
      <c r="D3" s="92" t="n"/>
      <c r="E3" s="8" t="n"/>
      <c r="F3" s="93" t="n"/>
      <c r="G3" s="518">
        <f>'Assumptions &amp; Computation'!D3</f>
        <v/>
      </c>
      <c r="H3" s="91">
        <f>FV(G3,D3,,-E3)</f>
        <v/>
      </c>
      <c r="J3" s="167" t="n"/>
      <c r="K3" s="519">
        <f>'4B_Equity_Stocks'!E26</f>
        <v/>
      </c>
      <c r="L3" s="520" t="n"/>
      <c r="M3" s="519">
        <f>839368</f>
        <v/>
      </c>
      <c r="N3" s="167" t="n"/>
      <c r="O3" s="51" t="n"/>
      <c r="P3" s="167" t="n"/>
      <c r="Q3" s="519" t="n"/>
      <c r="R3" s="51" t="n"/>
      <c r="S3" s="519" t="n"/>
      <c r="T3" s="51" t="n"/>
      <c r="U3" s="519" t="n"/>
      <c r="V3" s="519" t="n"/>
      <c r="W3" s="51" t="n"/>
      <c r="X3" s="521">
        <f>K3+M3+O3+Q3+S3+U3+W3</f>
        <v/>
      </c>
      <c r="Y3" s="522">
        <f>E3-X3</f>
        <v/>
      </c>
      <c r="Z3" s="522">
        <f>FV(G3,D3,,-Y3)</f>
        <v/>
      </c>
      <c r="AA3" s="51" t="n"/>
      <c r="AB3" s="158">
        <f>IFERROR(PMT(AA3/12,D3*12,,-Z3),0)</f>
        <v/>
      </c>
      <c r="AC3" s="158" t="n"/>
      <c r="AD3" s="158">
        <f>AB3-AC3</f>
        <v/>
      </c>
      <c r="AE3" s="51" t="n"/>
    </row>
    <row r="4" ht="14.5" customHeight="1">
      <c r="A4" s="3" t="inlineStr">
        <is>
          <t>Foreign Travel</t>
        </is>
      </c>
      <c r="B4" s="3" t="n"/>
      <c r="C4" s="92" t="n"/>
      <c r="D4" s="92" t="n"/>
      <c r="E4" s="8" t="n"/>
      <c r="F4" s="93" t="n"/>
      <c r="G4" s="518">
        <f>'Assumptions &amp; Computation'!D3</f>
        <v/>
      </c>
      <c r="H4" s="91">
        <f>FV(G4,D4,,-E4)</f>
        <v/>
      </c>
      <c r="J4" s="519" t="n"/>
      <c r="K4" s="519" t="n"/>
      <c r="L4" s="520" t="n"/>
      <c r="M4" s="519">
        <f>'11. Inc Exp,Networth,Rec Invest'!I30-'10_Financial_Goals'!M3</f>
        <v/>
      </c>
      <c r="N4" s="167" t="n"/>
      <c r="O4" s="51">
        <f>'4C_Fixed_Income'!E3</f>
        <v/>
      </c>
      <c r="P4" s="167" t="n"/>
      <c r="Q4" s="519" t="n"/>
      <c r="R4" s="51" t="n"/>
      <c r="S4" s="519" t="n"/>
      <c r="T4" s="51" t="n"/>
      <c r="U4" s="519" t="n"/>
      <c r="V4" s="519" t="n"/>
      <c r="W4" s="51" t="n"/>
      <c r="X4" s="521">
        <f>K4+M4+O4+Q4+S4+U4+W4</f>
        <v/>
      </c>
      <c r="Y4" s="522">
        <f>E4-X4</f>
        <v/>
      </c>
      <c r="Z4" s="522">
        <f>FV(G4,D4,,-Y4)</f>
        <v/>
      </c>
      <c r="AA4" s="51" t="n"/>
      <c r="AB4" s="158">
        <f>IFERROR(PMT(AA4/12,D4*12,,-Z4),0)</f>
        <v/>
      </c>
      <c r="AC4" s="158" t="n"/>
      <c r="AD4" s="158">
        <f>AB4-AC4</f>
        <v/>
      </c>
      <c r="AE4" s="51" t="n"/>
    </row>
    <row r="5" ht="14.5" customHeight="1">
      <c r="A5" s="3" t="inlineStr">
        <is>
          <t xml:space="preserve">House Purchase </t>
        </is>
      </c>
      <c r="B5" s="3" t="n"/>
      <c r="C5" s="92" t="n"/>
      <c r="D5" s="92" t="n"/>
      <c r="E5" s="8" t="n"/>
      <c r="F5" s="93" t="n"/>
      <c r="G5" s="518">
        <f>'Assumptions &amp; Computation'!D8</f>
        <v/>
      </c>
      <c r="H5" s="91">
        <f>FV(G5,D5,,-E5)</f>
        <v/>
      </c>
      <c r="J5" s="172" t="n"/>
      <c r="K5" s="172" t="n"/>
      <c r="L5" s="51" t="n"/>
      <c r="M5" s="51" t="n"/>
      <c r="N5" s="51" t="n"/>
      <c r="O5" s="51" t="n"/>
      <c r="P5" s="167" t="n"/>
      <c r="Q5" s="172">
        <f>'4B_Equity_Stocks'!E27-Q4</f>
        <v/>
      </c>
      <c r="R5" s="32" t="n"/>
      <c r="S5" s="51">
        <f>'4C_Fixed_Income'!E4</f>
        <v/>
      </c>
      <c r="T5" s="32" t="n"/>
      <c r="U5" s="51">
        <f>'4C_Fixed_Income'!E5</f>
        <v/>
      </c>
      <c r="V5" s="51" t="n"/>
      <c r="W5" s="51" t="n"/>
      <c r="X5" s="521">
        <f>K5+M5+O5+Q5+S5+U5+W5</f>
        <v/>
      </c>
      <c r="Y5" s="522">
        <f>E5-X5</f>
        <v/>
      </c>
      <c r="Z5" s="522">
        <f>FV(G5,D5,,-Y5)</f>
        <v/>
      </c>
      <c r="AA5" s="510">
        <f>'Assumptions &amp; Computation'!E22</f>
        <v/>
      </c>
      <c r="AB5" s="158">
        <f>IFERROR(PMT(AA5/12,D5*12,,-Z5),0)</f>
        <v/>
      </c>
      <c r="AC5" s="158" t="n"/>
      <c r="AD5" s="158">
        <f>AB5-AC5</f>
        <v/>
      </c>
      <c r="AE5" s="51" t="n"/>
    </row>
    <row r="6" ht="14.5" customHeight="1">
      <c r="A6" s="3" t="inlineStr">
        <is>
          <t>Child 1 Education</t>
        </is>
      </c>
      <c r="B6" s="3" t="n"/>
      <c r="C6" s="92" t="n"/>
      <c r="D6" s="92" t="n"/>
      <c r="E6" s="8" t="n"/>
      <c r="F6" s="93" t="n"/>
      <c r="G6" s="518">
        <f>'Assumptions &amp; Computation'!D4</f>
        <v/>
      </c>
      <c r="H6" s="91">
        <f>FV(G6,D6,,-E6)</f>
        <v/>
      </c>
      <c r="J6" s="172" t="n"/>
      <c r="K6" s="172" t="n"/>
      <c r="L6" s="51" t="n"/>
      <c r="M6" s="51" t="n"/>
      <c r="N6" s="51" t="n"/>
      <c r="O6" s="51" t="n"/>
      <c r="P6" s="167" t="n"/>
      <c r="Q6" s="51" t="n"/>
      <c r="R6" s="167" t="n"/>
      <c r="S6" s="485" t="n"/>
      <c r="T6" s="167" t="n"/>
      <c r="U6" s="485">
        <f>'11. Inc Exp,Networth,Rec Invest'!I34</f>
        <v/>
      </c>
      <c r="V6" s="167" t="n"/>
      <c r="W6" s="485" t="n"/>
      <c r="X6" s="521">
        <f>K6+M6+O6+Q6+S6+U6+W6</f>
        <v/>
      </c>
      <c r="Y6" s="522">
        <f>E6-X6</f>
        <v/>
      </c>
      <c r="Z6" s="522">
        <f>FV(G6,D6,,-Y6)</f>
        <v/>
      </c>
      <c r="AA6" s="510">
        <f>'Assumptions &amp; Computation'!E22</f>
        <v/>
      </c>
      <c r="AB6" s="158">
        <f>IFERROR(PMT(AA6/12,D6*12,,-Z6),0)</f>
        <v/>
      </c>
      <c r="AC6" s="158" t="n"/>
      <c r="AD6" s="158">
        <f>AB6-AC6</f>
        <v/>
      </c>
      <c r="AE6" s="51" t="n"/>
    </row>
    <row r="7" ht="14.5" customHeight="1">
      <c r="A7" s="3" t="inlineStr">
        <is>
          <t>Child 2 Education</t>
        </is>
      </c>
      <c r="B7" s="3" t="n"/>
      <c r="C7" s="92" t="n"/>
      <c r="D7" s="92" t="n"/>
      <c r="E7" s="8" t="n"/>
      <c r="F7" s="93" t="n"/>
      <c r="G7" s="518">
        <f>'Assumptions &amp; Computation'!D4</f>
        <v/>
      </c>
      <c r="H7" s="91">
        <f>FV(G7,D7,,-E7)</f>
        <v/>
      </c>
      <c r="J7" s="172" t="n"/>
      <c r="K7" s="172" t="n"/>
      <c r="L7" s="51" t="n"/>
      <c r="M7" s="51" t="n"/>
      <c r="N7" s="51" t="n"/>
      <c r="O7" s="51" t="n"/>
      <c r="P7" s="51" t="n"/>
      <c r="Q7" s="51" t="n"/>
      <c r="R7" s="51" t="n"/>
      <c r="S7" s="51" t="n"/>
      <c r="T7" s="32" t="n"/>
      <c r="U7" s="172">
        <f>'4B_Equity_Stocks'!E28</f>
        <v/>
      </c>
      <c r="V7" s="413" t="n"/>
      <c r="W7" s="157">
        <f>'11. Inc Exp,Networth,Rec Invest'!I28</f>
        <v/>
      </c>
      <c r="X7" s="521">
        <f>K7+M7+O7+Q7+S7+U7+W7</f>
        <v/>
      </c>
      <c r="Y7" s="522">
        <f>E7-X7</f>
        <v/>
      </c>
      <c r="Z7" s="522">
        <f>FV(G7,D7,,-Y7)</f>
        <v/>
      </c>
      <c r="AA7" s="510">
        <f>'Assumptions &amp; Computation'!E22</f>
        <v/>
      </c>
      <c r="AB7" s="158">
        <f>IFERROR(PMT(AA7/12,D7*12,,-Z7),0)</f>
        <v/>
      </c>
      <c r="AC7" s="158" t="n"/>
      <c r="AD7" s="158">
        <f>AB7-AC7</f>
        <v/>
      </c>
      <c r="AE7" s="51" t="n"/>
    </row>
    <row r="8" ht="14.5" customHeight="1">
      <c r="A8" s="3" t="inlineStr">
        <is>
          <t>Child 1 Marriage</t>
        </is>
      </c>
      <c r="B8" s="3" t="n"/>
      <c r="C8" s="92" t="n"/>
      <c r="D8" s="92" t="n"/>
      <c r="E8" s="8" t="n"/>
      <c r="F8" s="93" t="n"/>
      <c r="G8" s="518">
        <f>'Assumptions &amp; Computation'!D3</f>
        <v/>
      </c>
      <c r="H8" s="91">
        <f>FV(G8,D8,,-E8)</f>
        <v/>
      </c>
      <c r="J8" s="172" t="n"/>
      <c r="K8" s="172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167" t="n"/>
      <c r="W8" s="157" t="n"/>
      <c r="X8" s="521">
        <f>K8+M8+O8+Q8+S8+U8+W8</f>
        <v/>
      </c>
      <c r="Y8" s="522">
        <f>E8-X8</f>
        <v/>
      </c>
      <c r="Z8" s="522">
        <f>FV(G8,D8,,-Y8)</f>
        <v/>
      </c>
      <c r="AA8" s="510">
        <f>'Assumptions &amp; Computation'!E22</f>
        <v/>
      </c>
      <c r="AB8" s="158">
        <f>IFERROR(PMT(AA8/12,D8*12,,-Z8),0)</f>
        <v/>
      </c>
      <c r="AC8" s="158">
        <f>'11. Inc Exp,Networth,Rec Invest'!I14</f>
        <v/>
      </c>
      <c r="AD8" s="158">
        <f>AB8-AC8</f>
        <v/>
      </c>
      <c r="AE8" s="51" t="n"/>
    </row>
    <row r="9" ht="14.5" customHeight="1">
      <c r="A9" s="3" t="inlineStr">
        <is>
          <t>Child 2 Marriage</t>
        </is>
      </c>
      <c r="B9" s="3" t="n"/>
      <c r="C9" s="92" t="n"/>
      <c r="D9" s="92" t="n"/>
      <c r="E9" s="8" t="n"/>
      <c r="F9" s="93" t="n"/>
      <c r="G9" s="518">
        <f>'Assumptions &amp; Computation'!D3</f>
        <v/>
      </c>
      <c r="H9" s="91">
        <f>FV(G9,D9,,-E9)</f>
        <v/>
      </c>
      <c r="J9" s="172" t="n"/>
      <c r="K9" s="172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167" t="n"/>
      <c r="W9" s="157" t="n"/>
      <c r="X9" s="521">
        <f>K9+M9+O9+Q9+S9+U9+W9</f>
        <v/>
      </c>
      <c r="Y9" s="522">
        <f>E9-X9</f>
        <v/>
      </c>
      <c r="Z9" s="522">
        <f>FV(G9,D9,,-Y9)</f>
        <v/>
      </c>
      <c r="AA9" s="510">
        <f>'Assumptions &amp; Computation'!E22</f>
        <v/>
      </c>
      <c r="AB9" s="158">
        <f>IFERROR(PMT(AA9/12,D9*12,,-Z9),0)</f>
        <v/>
      </c>
      <c r="AC9" s="158" t="n"/>
      <c r="AD9" s="158">
        <f>AB9-AC9</f>
        <v/>
      </c>
      <c r="AE9" s="51" t="n"/>
    </row>
    <row r="10" ht="14.5" customHeight="1">
      <c r="A10" s="177" t="inlineStr">
        <is>
          <t>House Purchase 2</t>
        </is>
      </c>
      <c r="B10" s="3" t="n"/>
      <c r="C10" s="92" t="n"/>
      <c r="D10" s="92" t="n"/>
      <c r="E10" s="8">
        <f>15000000*0</f>
        <v/>
      </c>
      <c r="F10" s="93" t="n"/>
      <c r="G10" s="518">
        <f>'Assumptions &amp; Computation'!D8</f>
        <v/>
      </c>
      <c r="H10" s="91">
        <f>FV(G10,D10,,-E10)</f>
        <v/>
      </c>
      <c r="J10" s="172" t="n"/>
      <c r="K10" s="172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167" t="n"/>
      <c r="W10" s="157" t="n"/>
      <c r="X10" s="521">
        <f>K10+M10+O10+Q10+S10+U10+W10</f>
        <v/>
      </c>
      <c r="Y10" s="522">
        <f>E10-X10</f>
        <v/>
      </c>
      <c r="Z10" s="522">
        <f>FV(G10,D10,,-Y10)</f>
        <v/>
      </c>
      <c r="AA10" s="510">
        <f>'Assumptions &amp; Computation'!E22</f>
        <v/>
      </c>
      <c r="AB10" s="158">
        <f>IFERROR(PMT(AA10/12,D10*12,,-Z10),0)</f>
        <v/>
      </c>
      <c r="AC10" s="158" t="n"/>
      <c r="AD10" s="158">
        <f>AB10-AC10</f>
        <v/>
      </c>
      <c r="AE10" s="51" t="n"/>
    </row>
    <row r="11" ht="14.5" customHeight="1">
      <c r="A11" s="3" t="inlineStr">
        <is>
          <t>Loan Repayment</t>
        </is>
      </c>
      <c r="B11" s="3" t="n"/>
      <c r="C11" s="4" t="n"/>
      <c r="D11" s="4" t="n"/>
      <c r="E11" s="4" t="n"/>
      <c r="F11" s="4" t="n"/>
      <c r="G11" s="4" t="n"/>
      <c r="J11" s="172" t="n"/>
      <c r="K11" s="172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167" t="n"/>
      <c r="W11" s="157" t="n"/>
      <c r="X11" s="521">
        <f>K11+M11+O11+Q11+S11+U11+W11</f>
        <v/>
      </c>
      <c r="Y11" s="522">
        <f>E11-X11</f>
        <v/>
      </c>
      <c r="Z11" s="522">
        <f>FV(G11,D11,,-Y11)</f>
        <v/>
      </c>
      <c r="AA11" s="510">
        <f>'Assumptions &amp; Computation'!E22</f>
        <v/>
      </c>
      <c r="AB11" s="158">
        <f>IFERROR(PMT(AA11/12,D11*12,,-Z11),0)</f>
        <v/>
      </c>
      <c r="AC11" s="158" t="n"/>
      <c r="AD11" s="158">
        <f>AB11-AC11</f>
        <v/>
      </c>
      <c r="AE11" s="51" t="n"/>
    </row>
    <row r="12" ht="14.5" customHeight="1">
      <c r="A12" s="3" t="inlineStr">
        <is>
          <t>Social Commitments</t>
        </is>
      </c>
      <c r="B12" s="3" t="n"/>
      <c r="C12" s="4" t="n"/>
      <c r="D12" s="4" t="n"/>
      <c r="E12" s="4" t="n"/>
      <c r="F12" s="4" t="n"/>
      <c r="G12" s="9" t="n"/>
      <c r="J12" s="172" t="n"/>
      <c r="K12" s="172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167" t="n"/>
      <c r="W12" s="157" t="n"/>
      <c r="X12" s="521">
        <f>K12+M12+O12+Q12+S12+U12+W12</f>
        <v/>
      </c>
      <c r="Y12" s="522">
        <f>E12-X12</f>
        <v/>
      </c>
      <c r="Z12" s="522">
        <f>FV(G12,D12,,-Y12)</f>
        <v/>
      </c>
      <c r="AA12" s="510">
        <f>'Assumptions &amp; Computation'!E22</f>
        <v/>
      </c>
      <c r="AB12" s="158">
        <f>IFERROR(PMT(AA12/12,D12*12,,-Z12),0)</f>
        <v/>
      </c>
      <c r="AC12" s="158" t="n"/>
      <c r="AD12" s="158">
        <f>AB12-AC12</f>
        <v/>
      </c>
      <c r="AE12" s="51" t="n"/>
    </row>
    <row r="13" ht="14" customHeight="1">
      <c r="C13" s="4" t="n"/>
      <c r="D13" s="4" t="n"/>
      <c r="E13" s="120">
        <f>SUMIF(F3:F12,F13,E3:E12)</f>
        <v/>
      </c>
      <c r="F13" s="121" t="n"/>
      <c r="G13" s="4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21">
        <f>K13+M13+O13+Q13+S13+U13+W13</f>
        <v/>
      </c>
      <c r="Y13" s="522">
        <f>E8-X13</f>
        <v/>
      </c>
      <c r="Z13" s="522">
        <f>FV(G8,D8,,-Y13)</f>
        <v/>
      </c>
      <c r="AA13" s="51" t="n"/>
      <c r="AB13" s="158">
        <f>IFERROR(PMT(AA13/12,D13*12,,-Z13),0)</f>
        <v/>
      </c>
      <c r="AC13" s="158" t="n"/>
      <c r="AD13" s="158">
        <f>AB13-AC13</f>
        <v/>
      </c>
      <c r="AE13" s="51" t="n"/>
    </row>
    <row r="14" ht="14" customHeight="1">
      <c r="C14" s="4" t="n"/>
      <c r="D14" s="4" t="n"/>
      <c r="E14" s="120">
        <f>SUMIF(F3:F12,F14,E3:E12)</f>
        <v/>
      </c>
      <c r="F14" s="95" t="n"/>
      <c r="G14" s="4" t="n"/>
      <c r="J14" s="174" t="n"/>
      <c r="K14" s="174">
        <f>SUM(K3:K12)</f>
        <v/>
      </c>
      <c r="L14" s="168" t="n"/>
      <c r="M14" s="174">
        <f>SUM(M3:M12)</f>
        <v/>
      </c>
      <c r="N14" s="174">
        <f>SUM(N2:N7)</f>
        <v/>
      </c>
      <c r="O14" s="174">
        <f>SUM(O3:O12)</f>
        <v/>
      </c>
      <c r="P14" s="174">
        <f>SUM(P2:P7)</f>
        <v/>
      </c>
      <c r="Q14" s="174">
        <f>SUM(Q3:Q12)</f>
        <v/>
      </c>
      <c r="R14" s="174">
        <f>SUM(R2:R7)</f>
        <v/>
      </c>
      <c r="S14" s="174">
        <f>SUM(S3:S12)</f>
        <v/>
      </c>
      <c r="T14" s="174">
        <f>SUM(T2:T7)</f>
        <v/>
      </c>
      <c r="U14" s="174">
        <f>SUM(U3:U12)</f>
        <v/>
      </c>
      <c r="V14" s="174" t="n"/>
      <c r="W14" s="174">
        <f>SUM(W3:W12)</f>
        <v/>
      </c>
      <c r="X14" s="174">
        <f>SUM(X3:X12)</f>
        <v/>
      </c>
      <c r="Y14" s="174">
        <f>SUM(Y3:Y12)</f>
        <v/>
      </c>
      <c r="Z14" s="174">
        <f>SUM(Z3:Z12)</f>
        <v/>
      </c>
      <c r="AA14" s="168" t="n"/>
      <c r="AB14" s="174">
        <f>SUM(AB3:AB12)</f>
        <v/>
      </c>
      <c r="AC14" s="174">
        <f>SUM(AC3:AC12)</f>
        <v/>
      </c>
      <c r="AD14" s="174">
        <f>SUM(AD3:AD12)</f>
        <v/>
      </c>
      <c r="AE14" s="168" t="n"/>
    </row>
    <row r="15" ht="14" customHeight="1">
      <c r="C15" s="4" t="n"/>
      <c r="D15" s="4" t="n"/>
      <c r="E15" s="4" t="n"/>
      <c r="F15" s="4" t="n"/>
      <c r="G15" s="4" t="n"/>
      <c r="Q15" s="150">
        <f>'4B_Equity_Stocks'!E27</f>
        <v/>
      </c>
    </row>
    <row r="16" ht="14" customHeight="1">
      <c r="C16" s="4" t="n"/>
      <c r="D16" s="4" t="n"/>
      <c r="E16" s="4" t="n"/>
      <c r="F16" s="4" t="n"/>
      <c r="G16" s="4" t="n"/>
      <c r="K16" s="150">
        <f>'4B_Equity_Stocks'!E26-'10_Financial_Goals'!K14</f>
        <v/>
      </c>
      <c r="M16" s="153">
        <f>'4C_Fixed_Income'!E2-'10_Financial_Goals'!M14</f>
        <v/>
      </c>
      <c r="O16" s="153">
        <f>'4C_Fixed_Income'!E3-O14</f>
        <v/>
      </c>
      <c r="Q16" s="153">
        <f>'4B_Equity_Stocks'!E27-'10_Financial_Goals'!Q14</f>
        <v/>
      </c>
      <c r="S16" s="153">
        <f>'4C_Fixed_Income'!E4-'10_Financial_Goals'!S14</f>
        <v/>
      </c>
      <c r="U16" s="153">
        <f>'4C_Fixed_Income'!E5-'10_Financial_Goals'!U14</f>
        <v/>
      </c>
      <c r="W16" s="153">
        <f>'4C_Fixed_Income'!E6-W14</f>
        <v/>
      </c>
    </row>
    <row r="17" ht="14" customHeight="1">
      <c r="C17" s="4" t="n"/>
      <c r="D17" s="4" t="n"/>
      <c r="E17" s="4" t="n"/>
      <c r="F17" s="4" t="n"/>
      <c r="G17" s="4" t="n"/>
    </row>
    <row r="18" ht="14" customHeight="1">
      <c r="A18" s="65" t="inlineStr">
        <is>
          <t>POST RETIREMENT REGULAR AND ONE TIME SPEND</t>
        </is>
      </c>
      <c r="C18" s="4" t="n"/>
      <c r="D18" s="4" t="n"/>
      <c r="E18" s="4" t="n"/>
      <c r="F18" s="4" t="n"/>
      <c r="G18" s="4" t="n"/>
      <c r="H18" s="22" t="n"/>
      <c r="I18" s="22" t="n"/>
      <c r="Y18" s="22" t="n"/>
      <c r="Z18" s="22" t="n"/>
    </row>
    <row r="19" ht="14.5" customHeight="1">
      <c r="A19" s="3" t="inlineStr">
        <is>
          <t>Retirement Cost</t>
        </is>
      </c>
      <c r="B19" s="3" t="n"/>
      <c r="C19" s="4" t="n"/>
      <c r="D19" s="442" t="n"/>
      <c r="E19" s="94" t="n"/>
      <c r="F19" s="95" t="n"/>
      <c r="G19" s="7" t="n"/>
      <c r="H19" s="91">
        <f>'Retirement Plan'!E25</f>
        <v/>
      </c>
      <c r="I19" s="416">
        <f>'Assumptions &amp; Computation'!E26</f>
        <v/>
      </c>
      <c r="J19" s="172">
        <f>'11. Inc Exp,Networth,Rec Invest'!E35</f>
        <v/>
      </c>
      <c r="K19" s="172">
        <f>'11. Inc Exp,Networth,Rec Invest'!I35</f>
        <v/>
      </c>
      <c r="L19" s="32" t="n"/>
      <c r="M19" s="51">
        <f>'11. Inc Exp,Networth,Rec Invest'!I36</f>
        <v/>
      </c>
      <c r="N19" s="51">
        <f>'11. Inc Exp,Networth,Rec Invest'!E40</f>
        <v/>
      </c>
      <c r="O19" s="51">
        <f>'11. Inc Exp,Networth,Rec Invest'!I40</f>
        <v/>
      </c>
      <c r="P19" s="51" t="n"/>
      <c r="Q19" s="51" t="n"/>
      <c r="R19" s="51" t="n"/>
      <c r="S19" s="51" t="n"/>
      <c r="T19" s="51" t="n"/>
      <c r="U19" s="51" t="n"/>
      <c r="V19" s="167" t="n"/>
      <c r="W19" s="157" t="n"/>
      <c r="X19" s="523">
        <f>K19+M19+O19+Q19+S19+U19+W19</f>
        <v/>
      </c>
      <c r="Y19" s="519">
        <f>FV(I19,D19,,-X19)</f>
        <v/>
      </c>
      <c r="Z19" s="172">
        <f>H19-Y19</f>
        <v/>
      </c>
      <c r="AA19" s="479">
        <f>'Assumptions &amp; Computation'!E22</f>
        <v/>
      </c>
      <c r="AB19" s="519">
        <f>PMT(AA19/12,D19*12,,-Z19)</f>
        <v/>
      </c>
      <c r="AC19" s="519">
        <f>SUM('11. Inc Exp,Networth,Rec Invest'!I15,'11. Inc Exp,Networth,Rec Invest'!I16,'11. Inc Exp,Networth,Rec Invest'!I19,'11. Inc Exp,Networth,Rec Invest'!I23)</f>
        <v/>
      </c>
      <c r="AD19" s="158">
        <f>AB19-AC19</f>
        <v/>
      </c>
      <c r="AE19" s="51" t="n"/>
    </row>
    <row r="20" ht="14.5" customHeight="1">
      <c r="A20" s="177" t="inlineStr">
        <is>
          <t>Orphanage</t>
        </is>
      </c>
      <c r="B20" s="417" t="n"/>
      <c r="C20" s="4" t="n"/>
      <c r="D20" s="443" t="n"/>
      <c r="E20" s="8" t="n"/>
      <c r="F20" s="93" t="n"/>
      <c r="G20" s="379" t="n"/>
      <c r="H20" s="91">
        <f>'Retirement Plan'!E29</f>
        <v/>
      </c>
      <c r="I20" s="416">
        <f>'Assumptions &amp; Computation'!E26</f>
        <v/>
      </c>
      <c r="J20" s="172" t="n"/>
      <c r="K20" s="172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167" t="n"/>
      <c r="W20" s="157" t="n"/>
      <c r="X20" s="523">
        <f>K20+M20+O20+Q20+S20+U20+W20</f>
        <v/>
      </c>
      <c r="Y20" s="519">
        <f>FV(I20,D20,,-X20)</f>
        <v/>
      </c>
      <c r="Z20" s="172">
        <f>H20-Y20</f>
        <v/>
      </c>
      <c r="AA20" s="479">
        <f>'Assumptions &amp; Computation'!E22</f>
        <v/>
      </c>
      <c r="AB20" s="519">
        <f>PMT(AA20/12,D20*12,,-Z20)</f>
        <v/>
      </c>
      <c r="AC20" s="519">
        <f>SUM('11. Inc Exp,Networth,Rec Invest'!I16,'11. Inc Exp,Networth,Rec Invest'!I17,'11. Inc Exp,Networth,Rec Invest'!I20,'11. Inc Exp,Networth,Rec Invest'!I24)</f>
        <v/>
      </c>
      <c r="AD20" s="158">
        <f>AB20-AC20</f>
        <v/>
      </c>
      <c r="AE20" s="51" t="n"/>
    </row>
    <row r="21" ht="14" customHeight="1">
      <c r="C21" s="4" t="n"/>
      <c r="D21" s="4" t="n"/>
      <c r="E21" s="120" t="n"/>
      <c r="F21" s="95" t="n"/>
      <c r="G21" s="4" t="n"/>
      <c r="H21" s="444">
        <f>SUM(H19:H20)</f>
        <v/>
      </c>
      <c r="J21" s="174" t="n"/>
      <c r="K21" s="174" t="n"/>
      <c r="L21" s="168" t="n"/>
      <c r="M21" s="174" t="n"/>
      <c r="N21" s="174" t="n"/>
      <c r="O21" s="174" t="n"/>
      <c r="P21" s="174" t="n"/>
      <c r="Q21" s="174" t="n"/>
      <c r="R21" s="174" t="n"/>
      <c r="S21" s="174" t="n"/>
      <c r="T21" s="174" t="n"/>
      <c r="U21" s="174" t="n"/>
      <c r="V21" s="174" t="n"/>
      <c r="W21" s="174" t="n"/>
      <c r="X21" s="174">
        <f>SUM(X19:X20)</f>
        <v/>
      </c>
      <c r="Y21" s="174">
        <f>SUM(Y19:Y20)</f>
        <v/>
      </c>
      <c r="Z21" s="174">
        <f>SUM(Z19:Z20)</f>
        <v/>
      </c>
      <c r="AA21" s="168" t="n"/>
      <c r="AB21" s="174">
        <f>SUM(AB19:AB20)</f>
        <v/>
      </c>
      <c r="AC21" s="174">
        <f>SUM(AC19:AC20)</f>
        <v/>
      </c>
      <c r="AD21" s="174">
        <f>SUM(AD19:AD20)</f>
        <v/>
      </c>
      <c r="AE21" s="168" t="n"/>
    </row>
    <row r="22" ht="14" customHeight="1">
      <c r="A22" s="65" t="inlineStr">
        <is>
          <t>Total EMIs needed for future goals</t>
        </is>
      </c>
      <c r="C22" s="4" t="n"/>
      <c r="D22" s="4" t="n"/>
      <c r="E22" s="120" t="n"/>
      <c r="F22" s="95" t="n"/>
      <c r="G22" s="4" t="n"/>
      <c r="J22" s="418" t="n"/>
      <c r="K22" s="418" t="n"/>
      <c r="L22" s="375" t="n"/>
      <c r="M22" s="418" t="n"/>
      <c r="N22" s="418" t="n"/>
      <c r="O22" s="418" t="n"/>
      <c r="P22" s="418" t="n"/>
      <c r="Q22" s="418" t="n"/>
      <c r="R22" s="418" t="n"/>
      <c r="S22" s="418" t="n"/>
      <c r="T22" s="418" t="n"/>
      <c r="U22" s="418" t="n"/>
      <c r="V22" s="418" t="n"/>
      <c r="W22" s="418" t="n"/>
      <c r="X22" s="418" t="n"/>
      <c r="Y22" s="418" t="n"/>
      <c r="Z22" s="418" t="n"/>
      <c r="AA22" s="375" t="n"/>
      <c r="AB22" s="418" t="n"/>
      <c r="AC22" s="418" t="n"/>
      <c r="AD22" s="418">
        <f>SUM(AD14,AD21)</f>
        <v/>
      </c>
      <c r="AE22" s="375" t="n"/>
    </row>
    <row r="23" ht="14" customHeight="1"/>
    <row r="24" ht="14" customHeight="1">
      <c r="A24" s="412" t="inlineStr">
        <is>
          <t>Do you wish to dispose any of the asset during retirement</t>
        </is>
      </c>
      <c r="C24" s="4" t="n"/>
      <c r="D24" s="4" t="n"/>
      <c r="E24" s="4" t="n"/>
      <c r="F24" s="4" t="n"/>
      <c r="G24" s="4" t="n"/>
      <c r="W24" s="22" t="n"/>
      <c r="X24" s="152">
        <f>X14+X19</f>
        <v/>
      </c>
    </row>
    <row r="25" ht="15.75" customHeight="1">
      <c r="A25" s="412" t="inlineStr">
        <is>
          <t>Do you wish to gift any of the asset during retirement</t>
        </is>
      </c>
      <c r="C25" s="4" t="n"/>
      <c r="D25" s="4" t="n"/>
      <c r="E25" s="4" t="n"/>
      <c r="F25" s="4" t="n"/>
      <c r="G25" s="4" t="n"/>
      <c r="W25" s="22" t="n"/>
      <c r="X25" s="152">
        <f>'11. Inc Exp,Networth,Rec Invest'!I42</f>
        <v/>
      </c>
    </row>
    <row r="26" ht="15.75" customHeight="1">
      <c r="C26" s="4" t="n"/>
      <c r="D26" s="4" t="n"/>
      <c r="E26" s="4" t="n"/>
      <c r="F26" s="4" t="n"/>
      <c r="G26" s="4" t="n"/>
      <c r="W26" s="22" t="n"/>
      <c r="X26" s="152">
        <f>X25-X24</f>
        <v/>
      </c>
    </row>
    <row r="27" ht="15.75" customHeight="1">
      <c r="A27" s="296" t="inlineStr">
        <is>
          <t xml:space="preserve">Tag Needs / Goals </t>
        </is>
      </c>
      <c r="C27" s="4" t="n"/>
      <c r="D27" s="4" t="n"/>
      <c r="E27" s="4" t="n"/>
      <c r="F27" s="4" t="n"/>
      <c r="G27" s="4" t="n"/>
    </row>
    <row r="28" ht="15.75" customHeight="1">
      <c r="A28" s="22" t="inlineStr">
        <is>
          <t>Map needs / Goals as Essential/Desirable</t>
        </is>
      </c>
      <c r="C28" s="4" t="n"/>
      <c r="D28" s="4" t="n"/>
      <c r="E28" s="4" t="n"/>
      <c r="F28" s="4" t="n"/>
      <c r="G28" s="4" t="n"/>
    </row>
    <row r="29" ht="15.75" customHeight="1">
      <c r="C29" s="4" t="n"/>
      <c r="D29" s="4" t="n"/>
      <c r="E29" s="4" t="n"/>
      <c r="F29" s="4" t="n"/>
      <c r="G29" s="4" t="n"/>
      <c r="W29" s="22" t="n"/>
    </row>
    <row r="30" ht="15.75" customHeight="1">
      <c r="C30" s="4" t="n"/>
      <c r="D30" s="4" t="n"/>
      <c r="E30" s="4" t="n"/>
      <c r="F30" s="4" t="n"/>
      <c r="G30" s="4" t="n"/>
      <c r="W30" s="22" t="n"/>
      <c r="X30">
        <f>'11. Inc Exp,Networth,Rec Invest'!I44</f>
        <v/>
      </c>
    </row>
    <row r="31" ht="15.75" customHeight="1">
      <c r="A31" s="296" t="inlineStr">
        <is>
          <t xml:space="preserve">Chronlogically of Financial Needs to be sorted </t>
        </is>
      </c>
      <c r="B31" s="124" t="n"/>
      <c r="D31" s="4" t="n"/>
      <c r="E31" s="4" t="n"/>
      <c r="F31" s="4" t="n"/>
      <c r="G31" s="4" t="n"/>
    </row>
    <row r="32" ht="15.75" customHeight="1">
      <c r="D32" s="4" t="n"/>
      <c r="E32" s="4" t="n"/>
      <c r="F32" s="4" t="n"/>
      <c r="G32" s="4" t="n"/>
    </row>
    <row r="33" ht="15.75" customHeight="1">
      <c r="A33" s="296" t="inlineStr">
        <is>
          <t>Asset Allocation Rule for respective goals</t>
        </is>
      </c>
      <c r="D33" s="4" t="n"/>
      <c r="E33" s="4" t="n"/>
      <c r="F33" s="4" t="n"/>
      <c r="G33" s="4" t="n"/>
    </row>
    <row r="34" ht="15.75" customHeight="1">
      <c r="A34" t="inlineStr">
        <is>
          <t>Weal Tagged Stocks</t>
        </is>
      </c>
      <c r="D34" s="4" t="n"/>
      <c r="E34" s="4" t="n"/>
      <c r="F34" s="4" t="n"/>
      <c r="G34" s="4" t="n"/>
    </row>
    <row r="35" ht="15.75" customHeight="1">
      <c r="A35" t="inlineStr">
        <is>
          <t>Weak tagged MFs</t>
        </is>
      </c>
      <c r="D35" s="4" t="n"/>
      <c r="E35" s="4" t="n"/>
      <c r="F35" s="4" t="n"/>
      <c r="G35" s="4" t="n"/>
    </row>
    <row r="36" ht="15.75" customHeight="1">
      <c r="A36" t="inlineStr">
        <is>
          <t>Fixed Deposits</t>
        </is>
      </c>
      <c r="D36" s="4" t="n"/>
      <c r="E36" s="4" t="n"/>
      <c r="F36" s="4" t="n"/>
      <c r="G36" s="4" t="n"/>
    </row>
    <row r="37" ht="15.75" customHeight="1">
      <c r="A37" t="inlineStr">
        <is>
          <t>Bonds</t>
        </is>
      </c>
      <c r="D37" s="4" t="n"/>
      <c r="E37" s="4" t="n"/>
      <c r="F37" s="4" t="n"/>
      <c r="G37" s="4" t="n"/>
    </row>
    <row r="38" ht="15.75" customHeight="1">
      <c r="A38" t="inlineStr">
        <is>
          <t>Neutral Tagged Stocks</t>
        </is>
      </c>
      <c r="D38" s="4" t="n"/>
      <c r="E38" s="4" t="n"/>
      <c r="F38" s="4" t="n"/>
      <c r="G38" s="4" t="n"/>
    </row>
    <row r="39" ht="15.75" customHeight="1">
      <c r="A39" t="inlineStr">
        <is>
          <t>Neutral tagged MFs</t>
        </is>
      </c>
      <c r="D39" s="4" t="n"/>
      <c r="E39" s="4" t="n"/>
      <c r="F39" s="4" t="n"/>
      <c r="G39" s="4" t="n"/>
    </row>
    <row r="40" ht="15.75" customHeight="1">
      <c r="A40" t="inlineStr">
        <is>
          <t>ULIPs etc</t>
        </is>
      </c>
      <c r="D40" s="4" t="n"/>
      <c r="E40" s="4" t="n"/>
      <c r="F40" s="4" t="n"/>
      <c r="G40" s="4" t="n"/>
    </row>
    <row r="41" ht="15.75" customHeight="1">
      <c r="A41" t="inlineStr">
        <is>
          <t>NSC</t>
        </is>
      </c>
      <c r="D41" s="4" t="n"/>
      <c r="E41" s="4" t="n"/>
      <c r="F41" s="4" t="n"/>
      <c r="G41" s="4" t="n"/>
    </row>
    <row r="42" ht="15.75" customHeight="1">
      <c r="A42" t="inlineStr">
        <is>
          <t>PPF</t>
        </is>
      </c>
      <c r="D42" s="4" t="n"/>
      <c r="E42" s="4" t="n"/>
      <c r="F42" s="4" t="n"/>
      <c r="G42" s="4" t="n"/>
    </row>
    <row r="43" ht="15.75" customHeight="1">
      <c r="A43" t="inlineStr">
        <is>
          <t xml:space="preserve">Any Real Estate for sale etc </t>
        </is>
      </c>
      <c r="D43" s="4" t="n"/>
      <c r="E43" s="4" t="n"/>
      <c r="F43" s="4" t="n"/>
      <c r="G43" s="4" t="n"/>
    </row>
    <row r="44" ht="15.75" customHeight="1">
      <c r="A44" t="inlineStr">
        <is>
          <t>Gold</t>
        </is>
      </c>
      <c r="D44" s="4" t="n"/>
      <c r="E44" s="4" t="n"/>
      <c r="F44" s="4" t="n"/>
      <c r="G44" s="4" t="n"/>
    </row>
    <row r="45" ht="15.75" customHeight="1">
      <c r="A45" t="inlineStr">
        <is>
          <t>LIC Proceeds</t>
        </is>
      </c>
      <c r="D45" s="4" t="n"/>
      <c r="E45" s="4" t="n"/>
      <c r="F45" s="4" t="n"/>
      <c r="G45" s="4" t="n"/>
    </row>
    <row r="46" ht="15.75" customHeight="1">
      <c r="A46" t="inlineStr">
        <is>
          <t>EPF</t>
        </is>
      </c>
      <c r="D46" s="4" t="n"/>
      <c r="E46" s="4" t="n"/>
      <c r="F46" s="4" t="n"/>
      <c r="G46" s="4" t="n"/>
    </row>
    <row r="47" ht="15.75" customHeight="1">
      <c r="A47" t="inlineStr">
        <is>
          <t>Pension</t>
        </is>
      </c>
      <c r="D47" s="4" t="n"/>
      <c r="E47" s="4" t="n"/>
      <c r="F47" s="4" t="n"/>
      <c r="G47" s="4" t="n"/>
    </row>
    <row r="48" ht="15.75" customHeight="1">
      <c r="D48" s="4" t="n"/>
      <c r="E48" s="4" t="n"/>
      <c r="F48" s="4" t="n"/>
      <c r="G48" s="4" t="n"/>
    </row>
    <row r="49" ht="15.75" customHeight="1">
      <c r="A49" s="270" t="inlineStr">
        <is>
          <t>While applying above rule, ensure that the timeline of exit of asset to be just before the needs of goals</t>
        </is>
      </c>
      <c r="D49" s="4" t="n"/>
      <c r="E49" s="4" t="n"/>
      <c r="F49" s="4" t="n"/>
      <c r="G49" s="4" t="n"/>
    </row>
    <row r="50" ht="15.75" customHeight="1">
      <c r="D50" s="4" t="n"/>
      <c r="E50" s="4" t="n"/>
      <c r="F50" s="4" t="n"/>
      <c r="G50" s="4" t="n"/>
    </row>
    <row r="51" ht="15.75" customHeight="1">
      <c r="A51" s="296" t="inlineStr">
        <is>
          <t>Reinvestments of exited assets</t>
        </is>
      </c>
      <c r="D51" s="4" t="n"/>
      <c r="E51" s="4" t="n"/>
      <c r="F51" s="4" t="n"/>
      <c r="G51" s="4" t="n"/>
    </row>
    <row r="52" ht="15.75" customHeight="1">
      <c r="A52" s="65" t="inlineStr">
        <is>
          <t>Depending on the timeline of goal, reinvestment to be done :</t>
        </is>
      </c>
      <c r="D52" s="4" t="n"/>
      <c r="E52" s="4" t="n"/>
      <c r="F52" s="4" t="n"/>
      <c r="G52" s="4" t="n"/>
    </row>
    <row r="53" ht="15.75" customHeight="1">
      <c r="A53" s="305" t="inlineStr">
        <is>
          <t xml:space="preserve">Goals maturing in next 1 year </t>
        </is>
      </c>
      <c r="B53" s="305" t="n"/>
      <c r="D53" s="4" t="n"/>
      <c r="E53" s="4" t="n"/>
      <c r="F53" s="4" t="n"/>
      <c r="G53" s="4" t="n"/>
    </row>
    <row r="54" ht="15.75" customHeight="1">
      <c r="A54" s="305" t="inlineStr">
        <is>
          <t xml:space="preserve">Goals maturing in next 2-3 year </t>
        </is>
      </c>
      <c r="B54" s="305" t="n"/>
      <c r="D54" s="4" t="n"/>
      <c r="E54" s="4" t="n"/>
      <c r="F54" s="4" t="n"/>
      <c r="G54" s="4" t="n"/>
    </row>
    <row r="55" ht="15.75" customHeight="1">
      <c r="A55" s="305" t="inlineStr">
        <is>
          <t xml:space="preserve">Goals maturing in next 4-5 year </t>
        </is>
      </c>
      <c r="B55" s="305" t="n"/>
      <c r="D55" s="4" t="n"/>
      <c r="E55" s="4" t="n"/>
      <c r="F55" s="4" t="n"/>
      <c r="G55" s="4" t="n"/>
    </row>
    <row r="56" ht="15.75" customHeight="1">
      <c r="A56" s="305" t="inlineStr">
        <is>
          <t xml:space="preserve">Goals maturing &gt; 5 year </t>
        </is>
      </c>
      <c r="B56" s="305" t="n"/>
      <c r="D56" s="4" t="n"/>
      <c r="E56" s="4" t="n"/>
      <c r="F56" s="4" t="n"/>
      <c r="G56" s="4" t="n"/>
    </row>
    <row r="57" ht="15.75" customHeight="1">
      <c r="A57" s="22" t="n"/>
      <c r="D57" s="4" t="n"/>
      <c r="E57" s="4" t="n"/>
      <c r="F57" s="4" t="n"/>
      <c r="G57" s="4" t="n"/>
    </row>
    <row r="58" ht="15.75" customHeight="1">
      <c r="D58" s="4" t="n"/>
      <c r="E58" s="4" t="n"/>
      <c r="F58" s="4" t="n"/>
      <c r="G58" s="4" t="n"/>
    </row>
    <row r="59" ht="15.75" customHeight="1">
      <c r="A59" s="296" t="inlineStr">
        <is>
          <t>Other Notes</t>
        </is>
      </c>
      <c r="D59" s="4" t="n"/>
      <c r="E59" s="4" t="n"/>
      <c r="F59" s="4" t="n"/>
      <c r="G59" s="4" t="n"/>
    </row>
    <row r="60" ht="15.75" customHeight="1">
      <c r="A60" t="inlineStr">
        <is>
          <t>If asset allocation value is less than financial need , plan SIP to cover the needs over given period</t>
        </is>
      </c>
      <c r="D60" s="4" t="n"/>
      <c r="E60" s="4" t="n"/>
      <c r="F60" s="4" t="n"/>
      <c r="G60" s="4" t="n"/>
    </row>
    <row r="61" ht="15.75" customHeight="1">
      <c r="A61" t="inlineStr">
        <is>
          <t xml:space="preserve">If asset allocation value is more than financial needs , do not allocate more than financial needs </t>
        </is>
      </c>
      <c r="D61" s="4" t="n"/>
      <c r="E61" s="4" t="n"/>
      <c r="F61" s="4" t="n"/>
      <c r="G61" s="4" t="n"/>
    </row>
    <row r="62" ht="15.75" customHeight="1">
      <c r="D62" s="4" t="n"/>
      <c r="E62" s="4" t="n"/>
      <c r="F62" s="4" t="n"/>
      <c r="G62" s="4" t="n"/>
    </row>
    <row r="63" ht="15.75" customHeight="1">
      <c r="C63" s="4" t="n"/>
      <c r="D63" s="4" t="n"/>
      <c r="E63" s="4" t="n"/>
      <c r="F63" s="4" t="n"/>
      <c r="G63" s="4" t="n"/>
    </row>
    <row r="64" ht="15.75" customHeight="1">
      <c r="C64" s="4" t="n"/>
      <c r="D64" s="4" t="n"/>
      <c r="E64" s="4" t="n"/>
      <c r="F64" s="4" t="n"/>
      <c r="G64" s="4" t="n"/>
    </row>
    <row r="65" ht="15.75" customHeight="1">
      <c r="C65" s="4" t="n"/>
      <c r="D65" s="4" t="n"/>
      <c r="E65" s="4" t="n"/>
      <c r="F65" s="4" t="n"/>
      <c r="G65" s="4" t="n"/>
    </row>
    <row r="66" ht="15.75" customHeight="1">
      <c r="C66" s="4" t="n"/>
      <c r="D66" s="4" t="n"/>
      <c r="E66" s="4" t="n"/>
      <c r="F66" s="4" t="n"/>
      <c r="G66" s="4" t="n"/>
    </row>
    <row r="67" ht="15.75" customHeight="1">
      <c r="C67" s="4" t="n"/>
      <c r="D67" s="4" t="n"/>
      <c r="E67" s="4" t="n"/>
      <c r="F67" s="4" t="n"/>
      <c r="G67" s="4" t="n"/>
    </row>
    <row r="68" ht="15.75" customHeight="1">
      <c r="C68" s="4" t="n"/>
      <c r="D68" s="4" t="n"/>
      <c r="E68" s="4" t="n"/>
      <c r="F68" s="4" t="n"/>
      <c r="G68" s="4" t="n"/>
    </row>
    <row r="69" ht="15.75" customHeight="1">
      <c r="C69" s="4" t="n"/>
      <c r="D69" s="4" t="n"/>
      <c r="E69" s="4" t="n"/>
      <c r="F69" s="4" t="n"/>
      <c r="G69" s="4" t="n"/>
    </row>
    <row r="70" ht="15.75" customHeight="1">
      <c r="C70" s="4" t="n"/>
      <c r="D70" s="4" t="n"/>
      <c r="E70" s="4" t="n"/>
      <c r="F70" s="4" t="n"/>
      <c r="G70" s="4" t="n"/>
    </row>
    <row r="71" ht="15.75" customHeight="1">
      <c r="C71" s="4" t="n"/>
      <c r="D71" s="4" t="n"/>
      <c r="E71" s="4" t="n"/>
      <c r="F71" s="4" t="n"/>
      <c r="G71" s="4" t="n"/>
    </row>
    <row r="72" ht="15.75" customHeight="1">
      <c r="C72" s="4" t="n"/>
      <c r="D72" s="4" t="n"/>
      <c r="E72" s="4" t="n"/>
      <c r="F72" s="4" t="n"/>
      <c r="G72" s="4" t="n"/>
    </row>
    <row r="73" ht="15.75" customHeight="1">
      <c r="C73" s="4" t="n"/>
      <c r="D73" s="4" t="n"/>
      <c r="E73" s="4" t="n"/>
      <c r="F73" s="4" t="n"/>
      <c r="G73" s="4" t="n"/>
    </row>
    <row r="74" ht="15.75" customHeight="1">
      <c r="C74" s="4" t="n"/>
      <c r="D74" s="4" t="n"/>
      <c r="E74" s="4" t="n"/>
      <c r="F74" s="4" t="n"/>
      <c r="G74" s="4" t="n"/>
    </row>
    <row r="75" ht="15.75" customHeight="1">
      <c r="C75" s="4" t="n"/>
      <c r="D75" s="4" t="n"/>
      <c r="E75" s="4" t="n"/>
      <c r="F75" s="4" t="n"/>
      <c r="G75" s="4" t="n"/>
    </row>
    <row r="76" ht="15.75" customHeight="1">
      <c r="C76" s="4" t="n"/>
      <c r="D76" s="4" t="n"/>
      <c r="E76" s="4" t="n"/>
      <c r="F76" s="4" t="n"/>
      <c r="G76" s="4" t="n"/>
    </row>
    <row r="77" ht="15.75" customHeight="1">
      <c r="C77" s="4" t="n"/>
      <c r="D77" s="4" t="n"/>
      <c r="E77" s="4" t="n"/>
      <c r="F77" s="4" t="n"/>
      <c r="G77" s="4" t="n"/>
    </row>
    <row r="78" ht="15.75" customHeight="1">
      <c r="C78" s="4" t="n"/>
      <c r="D78" s="4" t="n"/>
      <c r="E78" s="4" t="n"/>
      <c r="F78" s="4" t="n"/>
      <c r="G78" s="4" t="n"/>
    </row>
    <row r="79" ht="15.75" customHeight="1">
      <c r="C79" s="4" t="n"/>
      <c r="D79" s="4" t="n"/>
      <c r="E79" s="4" t="n"/>
      <c r="F79" s="4" t="n"/>
      <c r="G79" s="4" t="n"/>
    </row>
    <row r="80" ht="15.75" customHeight="1">
      <c r="C80" s="4" t="n"/>
      <c r="D80" s="4" t="n"/>
      <c r="E80" s="4" t="n"/>
      <c r="F80" s="4" t="n"/>
      <c r="G80" s="4" t="n"/>
    </row>
    <row r="81" ht="15.75" customHeight="1">
      <c r="C81" s="4" t="n"/>
      <c r="D81" s="4" t="n"/>
      <c r="E81" s="4" t="n"/>
      <c r="F81" s="4" t="n"/>
      <c r="G81" s="4" t="n"/>
    </row>
    <row r="82" ht="15.75" customHeight="1">
      <c r="C82" s="4" t="n"/>
      <c r="D82" s="4" t="n"/>
      <c r="E82" s="4" t="n"/>
      <c r="F82" s="4" t="n"/>
      <c r="G82" s="4" t="n"/>
    </row>
    <row r="83" ht="15.75" customHeight="1">
      <c r="C83" s="4" t="n"/>
      <c r="D83" s="4" t="n"/>
      <c r="E83" s="4" t="n"/>
      <c r="F83" s="4" t="n"/>
      <c r="G83" s="4" t="n"/>
    </row>
    <row r="84" ht="15.75" customHeight="1">
      <c r="C84" s="4" t="n"/>
      <c r="D84" s="4" t="n"/>
      <c r="E84" s="4" t="n"/>
      <c r="F84" s="4" t="n"/>
      <c r="G84" s="4" t="n"/>
    </row>
    <row r="85" ht="15.75" customHeight="1">
      <c r="C85" s="4" t="n"/>
      <c r="D85" s="4" t="n"/>
      <c r="E85" s="4" t="n"/>
      <c r="F85" s="4" t="n"/>
      <c r="G85" s="4" t="n"/>
    </row>
    <row r="86" ht="15.75" customHeight="1">
      <c r="C86" s="4" t="n"/>
      <c r="D86" s="4" t="n"/>
      <c r="E86" s="4" t="n"/>
      <c r="F86" s="4" t="n"/>
      <c r="G86" s="4" t="n"/>
    </row>
    <row r="87" ht="15.75" customHeight="1">
      <c r="C87" s="4" t="n"/>
      <c r="D87" s="4" t="n"/>
      <c r="E87" s="4" t="n"/>
      <c r="F87" s="4" t="n"/>
      <c r="G87" s="4" t="n"/>
    </row>
    <row r="88" ht="15.75" customHeight="1">
      <c r="C88" s="4" t="n"/>
      <c r="D88" s="4" t="n"/>
      <c r="E88" s="4" t="n"/>
      <c r="F88" s="4" t="n"/>
      <c r="G88" s="4" t="n"/>
    </row>
    <row r="89" ht="15.75" customHeight="1">
      <c r="C89" s="4" t="n"/>
      <c r="D89" s="4" t="n"/>
      <c r="E89" s="4" t="n"/>
      <c r="F89" s="4" t="n"/>
      <c r="G89" s="4" t="n"/>
    </row>
    <row r="90" ht="15.75" customHeight="1">
      <c r="C90" s="4" t="n"/>
      <c r="D90" s="4" t="n"/>
      <c r="E90" s="4" t="n"/>
      <c r="F90" s="4" t="n"/>
      <c r="G90" s="4" t="n"/>
    </row>
    <row r="91" ht="15.75" customHeight="1">
      <c r="C91" s="4" t="n"/>
      <c r="D91" s="4" t="n"/>
      <c r="E91" s="4" t="n"/>
      <c r="F91" s="4" t="n"/>
      <c r="G91" s="4" t="n"/>
    </row>
    <row r="92" ht="15.75" customHeight="1">
      <c r="C92" s="4" t="n"/>
      <c r="D92" s="4" t="n"/>
      <c r="E92" s="4" t="n"/>
      <c r="F92" s="4" t="n"/>
      <c r="G92" s="4" t="n"/>
    </row>
    <row r="93" ht="15.75" customHeight="1">
      <c r="C93" s="4" t="n"/>
      <c r="D93" s="4" t="n"/>
      <c r="E93" s="4" t="n"/>
      <c r="F93" s="4" t="n"/>
      <c r="G93" s="4" t="n"/>
    </row>
    <row r="94" ht="15.75" customHeight="1">
      <c r="C94" s="4" t="n"/>
      <c r="D94" s="4" t="n"/>
      <c r="E94" s="4" t="n"/>
      <c r="F94" s="4" t="n"/>
      <c r="G94" s="4" t="n"/>
    </row>
    <row r="95" ht="15.75" customHeight="1">
      <c r="C95" s="4" t="n"/>
      <c r="D95" s="4" t="n"/>
      <c r="E95" s="4" t="n"/>
      <c r="F95" s="4" t="n"/>
      <c r="G95" s="4" t="n"/>
    </row>
    <row r="96" ht="15.75" customHeight="1">
      <c r="C96" s="4" t="n"/>
      <c r="D96" s="4" t="n"/>
      <c r="E96" s="4" t="n"/>
      <c r="F96" s="4" t="n"/>
      <c r="G96" s="4" t="n"/>
    </row>
    <row r="97" ht="15.75" customHeight="1">
      <c r="C97" s="4" t="n"/>
      <c r="D97" s="4" t="n"/>
      <c r="E97" s="4" t="n"/>
      <c r="F97" s="4" t="n"/>
      <c r="G97" s="4" t="n"/>
    </row>
    <row r="98" ht="15.75" customHeight="1">
      <c r="C98" s="4" t="n"/>
      <c r="D98" s="4" t="n"/>
      <c r="E98" s="4" t="n"/>
      <c r="F98" s="4" t="n"/>
      <c r="G98" s="4" t="n"/>
    </row>
    <row r="99" ht="15.75" customHeight="1">
      <c r="C99" s="4" t="n"/>
      <c r="D99" s="4" t="n"/>
      <c r="E99" s="4" t="n"/>
      <c r="F99" s="4" t="n"/>
      <c r="G99" s="4" t="n"/>
    </row>
    <row r="100" ht="15.75" customHeight="1">
      <c r="C100" s="4" t="n"/>
      <c r="D100" s="4" t="n"/>
      <c r="E100" s="4" t="n"/>
      <c r="F100" s="4" t="n"/>
      <c r="G100" s="4" t="n"/>
    </row>
    <row r="101" ht="15.75" customHeight="1">
      <c r="C101" s="4" t="n"/>
      <c r="D101" s="4" t="n"/>
      <c r="E101" s="4" t="n"/>
      <c r="F101" s="4" t="n"/>
      <c r="G101" s="4" t="n"/>
    </row>
    <row r="102" ht="15.75" customHeight="1">
      <c r="C102" s="4" t="n"/>
      <c r="D102" s="4" t="n"/>
      <c r="E102" s="4" t="n"/>
      <c r="F102" s="4" t="n"/>
      <c r="G102" s="4" t="n"/>
    </row>
    <row r="103" ht="15.75" customHeight="1">
      <c r="C103" s="4" t="n"/>
      <c r="D103" s="4" t="n"/>
      <c r="E103" s="4" t="n"/>
      <c r="F103" s="4" t="n"/>
      <c r="G103" s="4" t="n"/>
    </row>
    <row r="104" ht="15.75" customHeight="1">
      <c r="C104" s="4" t="n"/>
      <c r="D104" s="4" t="n"/>
      <c r="E104" s="4" t="n"/>
      <c r="F104" s="4" t="n"/>
      <c r="G104" s="4" t="n"/>
    </row>
    <row r="105" ht="15.75" customHeight="1">
      <c r="C105" s="4" t="n"/>
      <c r="D105" s="4" t="n"/>
      <c r="E105" s="4" t="n"/>
      <c r="F105" s="4" t="n"/>
      <c r="G105" s="4" t="n"/>
    </row>
    <row r="106" ht="15.75" customHeight="1">
      <c r="C106" s="4" t="n"/>
      <c r="D106" s="4" t="n"/>
      <c r="E106" s="4" t="n"/>
      <c r="F106" s="4" t="n"/>
      <c r="G106" s="4" t="n"/>
    </row>
    <row r="107" ht="15.75" customHeight="1">
      <c r="C107" s="4" t="n"/>
      <c r="D107" s="4" t="n"/>
      <c r="E107" s="4" t="n"/>
      <c r="F107" s="4" t="n"/>
      <c r="G107" s="4" t="n"/>
    </row>
    <row r="108" ht="15.75" customHeight="1">
      <c r="C108" s="4" t="n"/>
      <c r="D108" s="4" t="n"/>
      <c r="E108" s="4" t="n"/>
      <c r="F108" s="4" t="n"/>
      <c r="G108" s="4" t="n"/>
    </row>
    <row r="109" ht="15.75" customHeight="1">
      <c r="C109" s="4" t="n"/>
      <c r="D109" s="4" t="n"/>
      <c r="E109" s="4" t="n"/>
      <c r="F109" s="4" t="n"/>
      <c r="G109" s="4" t="n"/>
    </row>
    <row r="110" ht="15.75" customHeight="1">
      <c r="C110" s="4" t="n"/>
      <c r="D110" s="4" t="n"/>
      <c r="E110" s="4" t="n"/>
      <c r="F110" s="4" t="n"/>
      <c r="G110" s="4" t="n"/>
    </row>
    <row r="111" ht="15.75" customHeight="1">
      <c r="C111" s="4" t="n"/>
      <c r="D111" s="4" t="n"/>
      <c r="E111" s="4" t="n"/>
      <c r="F111" s="4" t="n"/>
      <c r="G111" s="4" t="n"/>
    </row>
    <row r="112" ht="15.75" customHeight="1">
      <c r="C112" s="4" t="n"/>
      <c r="D112" s="4" t="n"/>
      <c r="E112" s="4" t="n"/>
      <c r="F112" s="4" t="n"/>
      <c r="G112" s="4" t="n"/>
    </row>
    <row r="113" ht="15.75" customHeight="1">
      <c r="C113" s="4" t="n"/>
      <c r="D113" s="4" t="n"/>
      <c r="E113" s="4" t="n"/>
      <c r="F113" s="4" t="n"/>
      <c r="G113" s="4" t="n"/>
    </row>
    <row r="114" ht="15.75" customHeight="1">
      <c r="C114" s="4" t="n"/>
      <c r="D114" s="4" t="n"/>
      <c r="E114" s="4" t="n"/>
      <c r="F114" s="4" t="n"/>
      <c r="G114" s="4" t="n"/>
    </row>
    <row r="115" ht="15.75" customHeight="1">
      <c r="C115" s="4" t="n"/>
      <c r="D115" s="4" t="n"/>
      <c r="E115" s="4" t="n"/>
      <c r="F115" s="4" t="n"/>
      <c r="G115" s="4" t="n"/>
    </row>
    <row r="116" ht="15.75" customHeight="1">
      <c r="C116" s="4" t="n"/>
      <c r="D116" s="4" t="n"/>
      <c r="E116" s="4" t="n"/>
      <c r="F116" s="4" t="n"/>
      <c r="G116" s="4" t="n"/>
    </row>
    <row r="117" ht="15.75" customHeight="1">
      <c r="C117" s="4" t="n"/>
      <c r="D117" s="4" t="n"/>
      <c r="E117" s="4" t="n"/>
      <c r="F117" s="4" t="n"/>
      <c r="G117" s="4" t="n"/>
    </row>
    <row r="118" ht="15.75" customHeight="1">
      <c r="C118" s="4" t="n"/>
      <c r="D118" s="4" t="n"/>
      <c r="E118" s="4" t="n"/>
      <c r="F118" s="4" t="n"/>
      <c r="G118" s="4" t="n"/>
    </row>
    <row r="119" ht="15.75" customHeight="1">
      <c r="C119" s="4" t="n"/>
      <c r="D119" s="4" t="n"/>
      <c r="E119" s="4" t="n"/>
      <c r="F119" s="4" t="n"/>
      <c r="G119" s="4" t="n"/>
    </row>
    <row r="120" ht="15.75" customHeight="1">
      <c r="C120" s="4" t="n"/>
      <c r="D120" s="4" t="n"/>
      <c r="E120" s="4" t="n"/>
      <c r="F120" s="4" t="n"/>
      <c r="G120" s="4" t="n"/>
    </row>
    <row r="121" ht="15.75" customHeight="1">
      <c r="C121" s="4" t="n"/>
      <c r="D121" s="4" t="n"/>
      <c r="E121" s="4" t="n"/>
      <c r="F121" s="4" t="n"/>
      <c r="G121" s="4" t="n"/>
    </row>
    <row r="122" ht="15.75" customHeight="1">
      <c r="C122" s="4" t="n"/>
      <c r="D122" s="4" t="n"/>
      <c r="E122" s="4" t="n"/>
      <c r="F122" s="4" t="n"/>
      <c r="G122" s="4" t="n"/>
    </row>
    <row r="123" ht="15.75" customHeight="1">
      <c r="C123" s="4" t="n"/>
      <c r="D123" s="4" t="n"/>
      <c r="E123" s="4" t="n"/>
      <c r="F123" s="4" t="n"/>
      <c r="G123" s="4" t="n"/>
    </row>
    <row r="124" ht="15.75" customHeight="1">
      <c r="C124" s="4" t="n"/>
      <c r="D124" s="4" t="n"/>
      <c r="E124" s="4" t="n"/>
      <c r="F124" s="4" t="n"/>
      <c r="G124" s="4" t="n"/>
    </row>
    <row r="125" ht="15.75" customHeight="1">
      <c r="C125" s="4" t="n"/>
      <c r="D125" s="4" t="n"/>
      <c r="E125" s="4" t="n"/>
      <c r="F125" s="4" t="n"/>
      <c r="G125" s="4" t="n"/>
    </row>
    <row r="126" ht="15.75" customHeight="1">
      <c r="C126" s="4" t="n"/>
      <c r="D126" s="4" t="n"/>
      <c r="E126" s="4" t="n"/>
      <c r="F126" s="4" t="n"/>
      <c r="G126" s="4" t="n"/>
    </row>
    <row r="127" ht="15.75" customHeight="1">
      <c r="C127" s="4" t="n"/>
      <c r="D127" s="4" t="n"/>
      <c r="E127" s="4" t="n"/>
      <c r="F127" s="4" t="n"/>
      <c r="G127" s="4" t="n"/>
    </row>
    <row r="128" ht="15.75" customHeight="1">
      <c r="C128" s="4" t="n"/>
      <c r="D128" s="4" t="n"/>
      <c r="E128" s="4" t="n"/>
      <c r="F128" s="4" t="n"/>
      <c r="G128" s="4" t="n"/>
    </row>
    <row r="129" ht="15.75" customHeight="1">
      <c r="C129" s="4" t="n"/>
      <c r="D129" s="4" t="n"/>
      <c r="E129" s="4" t="n"/>
      <c r="F129" s="4" t="n"/>
      <c r="G129" s="4" t="n"/>
    </row>
    <row r="130" ht="15.75" customHeight="1">
      <c r="C130" s="4" t="n"/>
      <c r="D130" s="4" t="n"/>
      <c r="E130" s="4" t="n"/>
      <c r="F130" s="4" t="n"/>
      <c r="G130" s="4" t="n"/>
    </row>
    <row r="131" ht="15.75" customHeight="1">
      <c r="C131" s="4" t="n"/>
      <c r="D131" s="4" t="n"/>
      <c r="E131" s="4" t="n"/>
      <c r="F131" s="4" t="n"/>
      <c r="G131" s="4" t="n"/>
    </row>
    <row r="132" ht="15.75" customHeight="1">
      <c r="C132" s="4" t="n"/>
      <c r="D132" s="4" t="n"/>
      <c r="E132" s="4" t="n"/>
      <c r="F132" s="4" t="n"/>
      <c r="G132" s="4" t="n"/>
    </row>
    <row r="133" ht="15.75" customHeight="1">
      <c r="C133" s="4" t="n"/>
      <c r="D133" s="4" t="n"/>
      <c r="E133" s="4" t="n"/>
      <c r="F133" s="4" t="n"/>
      <c r="G133" s="4" t="n"/>
    </row>
    <row r="134" ht="15.75" customHeight="1">
      <c r="C134" s="4" t="n"/>
      <c r="D134" s="4" t="n"/>
      <c r="E134" s="4" t="n"/>
      <c r="F134" s="4" t="n"/>
      <c r="G134" s="4" t="n"/>
    </row>
    <row r="135" ht="15.75" customHeight="1">
      <c r="C135" s="4" t="n"/>
      <c r="D135" s="4" t="n"/>
      <c r="E135" s="4" t="n"/>
      <c r="F135" s="4" t="n"/>
      <c r="G135" s="4" t="n"/>
    </row>
    <row r="136" ht="15.75" customHeight="1">
      <c r="C136" s="4" t="n"/>
      <c r="D136" s="4" t="n"/>
      <c r="E136" s="4" t="n"/>
      <c r="F136" s="4" t="n"/>
      <c r="G136" s="4" t="n"/>
    </row>
    <row r="137" ht="15.75" customHeight="1">
      <c r="C137" s="4" t="n"/>
      <c r="D137" s="4" t="n"/>
      <c r="E137" s="4" t="n"/>
      <c r="F137" s="4" t="n"/>
      <c r="G137" s="4" t="n"/>
    </row>
    <row r="138" ht="15.75" customHeight="1">
      <c r="C138" s="4" t="n"/>
      <c r="D138" s="4" t="n"/>
      <c r="E138" s="4" t="n"/>
      <c r="F138" s="4" t="n"/>
      <c r="G138" s="4" t="n"/>
    </row>
    <row r="139" ht="15.75" customHeight="1">
      <c r="C139" s="4" t="n"/>
      <c r="D139" s="4" t="n"/>
      <c r="E139" s="4" t="n"/>
      <c r="F139" s="4" t="n"/>
      <c r="G139" s="4" t="n"/>
    </row>
    <row r="140" ht="15.75" customHeight="1">
      <c r="C140" s="4" t="n"/>
      <c r="D140" s="4" t="n"/>
      <c r="E140" s="4" t="n"/>
      <c r="F140" s="4" t="n"/>
      <c r="G140" s="4" t="n"/>
    </row>
    <row r="141" ht="15.75" customHeight="1">
      <c r="C141" s="4" t="n"/>
      <c r="D141" s="4" t="n"/>
      <c r="E141" s="4" t="n"/>
      <c r="F141" s="4" t="n"/>
      <c r="G141" s="4" t="n"/>
    </row>
    <row r="142" ht="15.75" customHeight="1">
      <c r="C142" s="4" t="n"/>
      <c r="D142" s="4" t="n"/>
      <c r="E142" s="4" t="n"/>
      <c r="F142" s="4" t="n"/>
      <c r="G142" s="4" t="n"/>
    </row>
    <row r="143" ht="15.75" customHeight="1">
      <c r="C143" s="4" t="n"/>
      <c r="D143" s="4" t="n"/>
      <c r="E143" s="4" t="n"/>
      <c r="F143" s="4" t="n"/>
      <c r="G143" s="4" t="n"/>
    </row>
    <row r="144" ht="15.75" customHeight="1">
      <c r="C144" s="4" t="n"/>
      <c r="D144" s="4" t="n"/>
      <c r="E144" s="4" t="n"/>
      <c r="F144" s="4" t="n"/>
      <c r="G144" s="4" t="n"/>
    </row>
    <row r="145" ht="15.75" customHeight="1">
      <c r="C145" s="4" t="n"/>
      <c r="D145" s="4" t="n"/>
      <c r="E145" s="4" t="n"/>
      <c r="F145" s="4" t="n"/>
      <c r="G145" s="4" t="n"/>
    </row>
    <row r="146" ht="15.75" customHeight="1">
      <c r="C146" s="4" t="n"/>
      <c r="D146" s="4" t="n"/>
      <c r="E146" s="4" t="n"/>
      <c r="F146" s="4" t="n"/>
      <c r="G146" s="4" t="n"/>
    </row>
    <row r="147" ht="15.75" customHeight="1">
      <c r="C147" s="4" t="n"/>
      <c r="D147" s="4" t="n"/>
      <c r="E147" s="4" t="n"/>
      <c r="F147" s="4" t="n"/>
      <c r="G147" s="4" t="n"/>
    </row>
    <row r="148" ht="15.75" customHeight="1">
      <c r="C148" s="4" t="n"/>
      <c r="D148" s="4" t="n"/>
      <c r="E148" s="4" t="n"/>
      <c r="F148" s="4" t="n"/>
      <c r="G148" s="4" t="n"/>
    </row>
    <row r="149" ht="15.75" customHeight="1">
      <c r="C149" s="4" t="n"/>
      <c r="D149" s="4" t="n"/>
      <c r="E149" s="4" t="n"/>
      <c r="F149" s="4" t="n"/>
      <c r="G149" s="4" t="n"/>
    </row>
    <row r="150" ht="15.75" customHeight="1">
      <c r="C150" s="4" t="n"/>
      <c r="D150" s="4" t="n"/>
      <c r="E150" s="4" t="n"/>
      <c r="F150" s="4" t="n"/>
      <c r="G150" s="4" t="n"/>
    </row>
    <row r="151" ht="15.75" customHeight="1">
      <c r="C151" s="4" t="n"/>
      <c r="D151" s="4" t="n"/>
      <c r="E151" s="4" t="n"/>
      <c r="F151" s="4" t="n"/>
      <c r="G151" s="4" t="n"/>
    </row>
    <row r="152" ht="15.75" customHeight="1">
      <c r="C152" s="4" t="n"/>
      <c r="D152" s="4" t="n"/>
      <c r="E152" s="4" t="n"/>
      <c r="F152" s="4" t="n"/>
      <c r="G152" s="4" t="n"/>
    </row>
    <row r="153" ht="15.75" customHeight="1">
      <c r="C153" s="4" t="n"/>
      <c r="D153" s="4" t="n"/>
      <c r="E153" s="4" t="n"/>
      <c r="F153" s="4" t="n"/>
      <c r="G153" s="4" t="n"/>
    </row>
    <row r="154" ht="15.75" customHeight="1">
      <c r="C154" s="4" t="n"/>
      <c r="D154" s="4" t="n"/>
      <c r="E154" s="4" t="n"/>
      <c r="F154" s="4" t="n"/>
      <c r="G154" s="4" t="n"/>
    </row>
    <row r="155" ht="15.75" customHeight="1">
      <c r="C155" s="4" t="n"/>
      <c r="D155" s="4" t="n"/>
      <c r="E155" s="4" t="n"/>
      <c r="F155" s="4" t="n"/>
      <c r="G155" s="4" t="n"/>
    </row>
    <row r="156" ht="15.75" customHeight="1">
      <c r="C156" s="4" t="n"/>
      <c r="D156" s="4" t="n"/>
      <c r="E156" s="4" t="n"/>
      <c r="F156" s="4" t="n"/>
      <c r="G156" s="4" t="n"/>
    </row>
    <row r="157" ht="15.75" customHeight="1">
      <c r="C157" s="4" t="n"/>
      <c r="D157" s="4" t="n"/>
      <c r="E157" s="4" t="n"/>
      <c r="F157" s="4" t="n"/>
      <c r="G157" s="4" t="n"/>
    </row>
    <row r="158" ht="15.75" customHeight="1">
      <c r="C158" s="4" t="n"/>
      <c r="D158" s="4" t="n"/>
      <c r="E158" s="4" t="n"/>
      <c r="F158" s="4" t="n"/>
      <c r="G158" s="4" t="n"/>
    </row>
    <row r="159" ht="15.75" customHeight="1">
      <c r="C159" s="4" t="n"/>
      <c r="D159" s="4" t="n"/>
      <c r="E159" s="4" t="n"/>
      <c r="F159" s="4" t="n"/>
      <c r="G159" s="4" t="n"/>
    </row>
    <row r="160" ht="15.75" customHeight="1">
      <c r="C160" s="4" t="n"/>
      <c r="D160" s="4" t="n"/>
      <c r="E160" s="4" t="n"/>
      <c r="F160" s="4" t="n"/>
      <c r="G160" s="4" t="n"/>
    </row>
    <row r="161" ht="15.75" customHeight="1">
      <c r="C161" s="4" t="n"/>
      <c r="D161" s="4" t="n"/>
      <c r="E161" s="4" t="n"/>
      <c r="F161" s="4" t="n"/>
      <c r="G161" s="4" t="n"/>
    </row>
    <row r="162" ht="15.75" customHeight="1">
      <c r="C162" s="4" t="n"/>
      <c r="D162" s="4" t="n"/>
      <c r="E162" s="4" t="n"/>
      <c r="F162" s="4" t="n"/>
      <c r="G162" s="4" t="n"/>
    </row>
    <row r="163" ht="15.75" customHeight="1">
      <c r="C163" s="4" t="n"/>
      <c r="D163" s="4" t="n"/>
      <c r="E163" s="4" t="n"/>
      <c r="F163" s="4" t="n"/>
      <c r="G163" s="4" t="n"/>
    </row>
    <row r="164" ht="15.75" customHeight="1">
      <c r="C164" s="4" t="n"/>
      <c r="D164" s="4" t="n"/>
      <c r="E164" s="4" t="n"/>
      <c r="F164" s="4" t="n"/>
      <c r="G164" s="4" t="n"/>
    </row>
    <row r="165" ht="15.75" customHeight="1">
      <c r="C165" s="4" t="n"/>
      <c r="D165" s="4" t="n"/>
      <c r="E165" s="4" t="n"/>
      <c r="F165" s="4" t="n"/>
      <c r="G165" s="4" t="n"/>
    </row>
    <row r="166" ht="15.75" customHeight="1">
      <c r="C166" s="4" t="n"/>
      <c r="D166" s="4" t="n"/>
      <c r="E166" s="4" t="n"/>
      <c r="F166" s="4" t="n"/>
      <c r="G166" s="4" t="n"/>
    </row>
    <row r="167" ht="15.75" customHeight="1">
      <c r="C167" s="4" t="n"/>
      <c r="D167" s="4" t="n"/>
      <c r="E167" s="4" t="n"/>
      <c r="F167" s="4" t="n"/>
      <c r="G167" s="4" t="n"/>
    </row>
    <row r="168" ht="15.75" customHeight="1">
      <c r="C168" s="4" t="n"/>
      <c r="D168" s="4" t="n"/>
      <c r="E168" s="4" t="n"/>
      <c r="F168" s="4" t="n"/>
      <c r="G168" s="4" t="n"/>
    </row>
    <row r="169" ht="15.75" customHeight="1">
      <c r="C169" s="4" t="n"/>
      <c r="D169" s="4" t="n"/>
      <c r="E169" s="4" t="n"/>
      <c r="F169" s="4" t="n"/>
      <c r="G169" s="4" t="n"/>
    </row>
    <row r="170" ht="15.75" customHeight="1">
      <c r="C170" s="4" t="n"/>
      <c r="D170" s="4" t="n"/>
      <c r="E170" s="4" t="n"/>
      <c r="F170" s="4" t="n"/>
      <c r="G170" s="4" t="n"/>
    </row>
    <row r="171" ht="15.75" customHeight="1">
      <c r="C171" s="4" t="n"/>
      <c r="D171" s="4" t="n"/>
      <c r="E171" s="4" t="n"/>
      <c r="F171" s="4" t="n"/>
      <c r="G171" s="4" t="n"/>
    </row>
    <row r="172" ht="15.75" customHeight="1">
      <c r="C172" s="4" t="n"/>
      <c r="D172" s="4" t="n"/>
      <c r="E172" s="4" t="n"/>
      <c r="F172" s="4" t="n"/>
      <c r="G172" s="4" t="n"/>
    </row>
    <row r="173" ht="15.75" customHeight="1">
      <c r="C173" s="4" t="n"/>
      <c r="D173" s="4" t="n"/>
      <c r="E173" s="4" t="n"/>
      <c r="F173" s="4" t="n"/>
      <c r="G173" s="4" t="n"/>
    </row>
    <row r="174" ht="15.75" customHeight="1">
      <c r="C174" s="4" t="n"/>
      <c r="D174" s="4" t="n"/>
      <c r="E174" s="4" t="n"/>
      <c r="F174" s="4" t="n"/>
      <c r="G174" s="4" t="n"/>
    </row>
    <row r="175" ht="15.75" customHeight="1">
      <c r="C175" s="4" t="n"/>
      <c r="D175" s="4" t="n"/>
      <c r="E175" s="4" t="n"/>
      <c r="F175" s="4" t="n"/>
      <c r="G175" s="4" t="n"/>
    </row>
    <row r="176" ht="15.75" customHeight="1">
      <c r="C176" s="4" t="n"/>
      <c r="D176" s="4" t="n"/>
      <c r="E176" s="4" t="n"/>
      <c r="F176" s="4" t="n"/>
      <c r="G176" s="4" t="n"/>
    </row>
    <row r="177" ht="15.75" customHeight="1">
      <c r="C177" s="4" t="n"/>
      <c r="D177" s="4" t="n"/>
      <c r="E177" s="4" t="n"/>
      <c r="F177" s="4" t="n"/>
      <c r="G177" s="4" t="n"/>
    </row>
    <row r="178" ht="15.75" customHeight="1">
      <c r="C178" s="4" t="n"/>
      <c r="D178" s="4" t="n"/>
      <c r="E178" s="4" t="n"/>
      <c r="F178" s="4" t="n"/>
      <c r="G178" s="4" t="n"/>
    </row>
    <row r="179" ht="15.75" customHeight="1">
      <c r="C179" s="4" t="n"/>
      <c r="D179" s="4" t="n"/>
      <c r="E179" s="4" t="n"/>
      <c r="F179" s="4" t="n"/>
      <c r="G179" s="4" t="n"/>
    </row>
    <row r="180" ht="15.75" customHeight="1">
      <c r="C180" s="4" t="n"/>
      <c r="D180" s="4" t="n"/>
      <c r="E180" s="4" t="n"/>
      <c r="F180" s="4" t="n"/>
      <c r="G180" s="4" t="n"/>
    </row>
    <row r="181" ht="15.75" customHeight="1">
      <c r="C181" s="4" t="n"/>
      <c r="D181" s="4" t="n"/>
      <c r="E181" s="4" t="n"/>
      <c r="F181" s="4" t="n"/>
      <c r="G181" s="4" t="n"/>
    </row>
    <row r="182" ht="15.75" customHeight="1">
      <c r="C182" s="4" t="n"/>
      <c r="D182" s="4" t="n"/>
      <c r="E182" s="4" t="n"/>
      <c r="F182" s="4" t="n"/>
      <c r="G182" s="4" t="n"/>
    </row>
    <row r="183" ht="15.75" customHeight="1">
      <c r="C183" s="4" t="n"/>
      <c r="D183" s="4" t="n"/>
      <c r="E183" s="4" t="n"/>
      <c r="F183" s="4" t="n"/>
      <c r="G183" s="4" t="n"/>
    </row>
    <row r="184" ht="15.75" customHeight="1">
      <c r="C184" s="4" t="n"/>
      <c r="D184" s="4" t="n"/>
      <c r="E184" s="4" t="n"/>
      <c r="F184" s="4" t="n"/>
      <c r="G184" s="4" t="n"/>
    </row>
    <row r="185" ht="15.75" customHeight="1">
      <c r="C185" s="4" t="n"/>
      <c r="D185" s="4" t="n"/>
      <c r="E185" s="4" t="n"/>
      <c r="F185" s="4" t="n"/>
      <c r="G185" s="4" t="n"/>
    </row>
    <row r="186" ht="15.75" customHeight="1">
      <c r="C186" s="4" t="n"/>
      <c r="D186" s="4" t="n"/>
      <c r="E186" s="4" t="n"/>
      <c r="F186" s="4" t="n"/>
      <c r="G186" s="4" t="n"/>
    </row>
    <row r="187" ht="15.75" customHeight="1">
      <c r="C187" s="4" t="n"/>
      <c r="D187" s="4" t="n"/>
      <c r="E187" s="4" t="n"/>
      <c r="F187" s="4" t="n"/>
      <c r="G187" s="4" t="n"/>
    </row>
    <row r="188" ht="15.75" customHeight="1">
      <c r="C188" s="4" t="n"/>
      <c r="D188" s="4" t="n"/>
      <c r="E188" s="4" t="n"/>
      <c r="F188" s="4" t="n"/>
      <c r="G188" s="4" t="n"/>
    </row>
    <row r="189" ht="15.75" customHeight="1">
      <c r="C189" s="4" t="n"/>
      <c r="D189" s="4" t="n"/>
      <c r="E189" s="4" t="n"/>
      <c r="F189" s="4" t="n"/>
      <c r="G189" s="4" t="n"/>
    </row>
    <row r="190" ht="15.75" customHeight="1">
      <c r="C190" s="4" t="n"/>
      <c r="D190" s="4" t="n"/>
      <c r="E190" s="4" t="n"/>
      <c r="F190" s="4" t="n"/>
      <c r="G190" s="4" t="n"/>
    </row>
    <row r="191" ht="15.75" customHeight="1">
      <c r="C191" s="4" t="n"/>
      <c r="D191" s="4" t="n"/>
      <c r="E191" s="4" t="n"/>
      <c r="F191" s="4" t="n"/>
      <c r="G191" s="4" t="n"/>
    </row>
    <row r="192" ht="15.75" customHeight="1">
      <c r="C192" s="4" t="n"/>
      <c r="D192" s="4" t="n"/>
      <c r="E192" s="4" t="n"/>
      <c r="F192" s="4" t="n"/>
      <c r="G192" s="4" t="n"/>
    </row>
    <row r="193" ht="15.75" customHeight="1">
      <c r="C193" s="4" t="n"/>
      <c r="D193" s="4" t="n"/>
      <c r="E193" s="4" t="n"/>
      <c r="F193" s="4" t="n"/>
      <c r="G193" s="4" t="n"/>
    </row>
    <row r="194" ht="15.75" customHeight="1">
      <c r="C194" s="4" t="n"/>
      <c r="D194" s="4" t="n"/>
      <c r="E194" s="4" t="n"/>
      <c r="F194" s="4" t="n"/>
      <c r="G194" s="4" t="n"/>
    </row>
    <row r="195" ht="15.75" customHeight="1">
      <c r="C195" s="4" t="n"/>
      <c r="D195" s="4" t="n"/>
      <c r="E195" s="4" t="n"/>
      <c r="F195" s="4" t="n"/>
      <c r="G195" s="4" t="n"/>
    </row>
    <row r="196" ht="15.75" customHeight="1">
      <c r="C196" s="4" t="n"/>
      <c r="D196" s="4" t="n"/>
      <c r="E196" s="4" t="n"/>
      <c r="F196" s="4" t="n"/>
      <c r="G196" s="4" t="n"/>
    </row>
    <row r="197" ht="15.75" customHeight="1">
      <c r="C197" s="4" t="n"/>
      <c r="D197" s="4" t="n"/>
      <c r="E197" s="4" t="n"/>
      <c r="F197" s="4" t="n"/>
      <c r="G197" s="4" t="n"/>
    </row>
    <row r="198" ht="15.75" customHeight="1">
      <c r="C198" s="4" t="n"/>
      <c r="D198" s="4" t="n"/>
      <c r="E198" s="4" t="n"/>
      <c r="F198" s="4" t="n"/>
      <c r="G198" s="4" t="n"/>
    </row>
    <row r="199" ht="15.75" customHeight="1">
      <c r="C199" s="4" t="n"/>
      <c r="D199" s="4" t="n"/>
      <c r="E199" s="4" t="n"/>
      <c r="F199" s="4" t="n"/>
      <c r="G199" s="4" t="n"/>
    </row>
    <row r="200" ht="15.75" customHeight="1">
      <c r="C200" s="4" t="n"/>
      <c r="D200" s="4" t="n"/>
      <c r="E200" s="4" t="n"/>
      <c r="F200" s="4" t="n"/>
      <c r="G200" s="4" t="n"/>
    </row>
    <row r="201" ht="15.75" customHeight="1">
      <c r="C201" s="4" t="n"/>
      <c r="D201" s="4" t="n"/>
      <c r="E201" s="4" t="n"/>
      <c r="F201" s="4" t="n"/>
      <c r="G201" s="4" t="n"/>
    </row>
    <row r="202" ht="15.75" customHeight="1">
      <c r="C202" s="4" t="n"/>
      <c r="D202" s="4" t="n"/>
      <c r="E202" s="4" t="n"/>
      <c r="F202" s="4" t="n"/>
      <c r="G202" s="4" t="n"/>
    </row>
    <row r="203" ht="15.75" customHeight="1">
      <c r="C203" s="4" t="n"/>
      <c r="D203" s="4" t="n"/>
      <c r="E203" s="4" t="n"/>
      <c r="F203" s="4" t="n"/>
      <c r="G203" s="4" t="n"/>
    </row>
    <row r="204" ht="15.75" customHeight="1">
      <c r="C204" s="4" t="n"/>
      <c r="D204" s="4" t="n"/>
      <c r="E204" s="4" t="n"/>
      <c r="F204" s="4" t="n"/>
      <c r="G204" s="4" t="n"/>
    </row>
    <row r="205" ht="15.75" customHeight="1">
      <c r="C205" s="4" t="n"/>
      <c r="D205" s="4" t="n"/>
      <c r="E205" s="4" t="n"/>
      <c r="F205" s="4" t="n"/>
      <c r="G205" s="4" t="n"/>
    </row>
    <row r="206" ht="15.75" customHeight="1">
      <c r="C206" s="4" t="n"/>
      <c r="D206" s="4" t="n"/>
      <c r="E206" s="4" t="n"/>
      <c r="F206" s="4" t="n"/>
      <c r="G206" s="4" t="n"/>
    </row>
    <row r="207" ht="15.75" customHeight="1">
      <c r="C207" s="4" t="n"/>
      <c r="D207" s="4" t="n"/>
      <c r="E207" s="4" t="n"/>
      <c r="F207" s="4" t="n"/>
      <c r="G207" s="4" t="n"/>
    </row>
    <row r="208" ht="15.75" customHeight="1">
      <c r="C208" s="4" t="n"/>
      <c r="D208" s="4" t="n"/>
      <c r="E208" s="4" t="n"/>
      <c r="F208" s="4" t="n"/>
      <c r="G208" s="4" t="n"/>
    </row>
    <row r="209" ht="15.75" customHeight="1">
      <c r="C209" s="4" t="n"/>
      <c r="D209" s="4" t="n"/>
      <c r="E209" s="4" t="n"/>
      <c r="F209" s="4" t="n"/>
      <c r="G209" s="4" t="n"/>
    </row>
    <row r="210" ht="15.75" customHeight="1">
      <c r="C210" s="4" t="n"/>
      <c r="D210" s="4" t="n"/>
      <c r="E210" s="4" t="n"/>
      <c r="F210" s="4" t="n"/>
      <c r="G210" s="4" t="n"/>
    </row>
    <row r="211" ht="15.75" customHeight="1">
      <c r="C211" s="4" t="n"/>
      <c r="D211" s="4" t="n"/>
      <c r="E211" s="4" t="n"/>
      <c r="F211" s="4" t="n"/>
      <c r="G211" s="4" t="n"/>
    </row>
    <row r="212" ht="15.75" customHeight="1">
      <c r="C212" s="4" t="n"/>
      <c r="D212" s="4" t="n"/>
      <c r="E212" s="4" t="n"/>
      <c r="F212" s="4" t="n"/>
      <c r="G212" s="4" t="n"/>
    </row>
    <row r="213" ht="15.75" customHeight="1">
      <c r="C213" s="4" t="n"/>
      <c r="D213" s="4" t="n"/>
      <c r="E213" s="4" t="n"/>
      <c r="F213" s="4" t="n"/>
      <c r="G213" s="4" t="n"/>
    </row>
    <row r="214" ht="15.75" customHeight="1">
      <c r="C214" s="4" t="n"/>
      <c r="D214" s="4" t="n"/>
      <c r="E214" s="4" t="n"/>
      <c r="F214" s="4" t="n"/>
      <c r="G214" s="4" t="n"/>
    </row>
    <row r="215" ht="15.75" customHeight="1">
      <c r="C215" s="4" t="n"/>
      <c r="D215" s="4" t="n"/>
      <c r="E215" s="4" t="n"/>
      <c r="F215" s="4" t="n"/>
      <c r="G215" s="4" t="n"/>
    </row>
    <row r="216" ht="15.75" customHeight="1">
      <c r="C216" s="4" t="n"/>
      <c r="D216" s="4" t="n"/>
      <c r="E216" s="4" t="n"/>
      <c r="F216" s="4" t="n"/>
      <c r="G216" s="4" t="n"/>
    </row>
    <row r="217" ht="15.75" customHeight="1">
      <c r="C217" s="4" t="n"/>
      <c r="D217" s="4" t="n"/>
      <c r="E217" s="4" t="n"/>
      <c r="F217" s="4" t="n"/>
      <c r="G217" s="4" t="n"/>
    </row>
    <row r="218" ht="15.75" customHeight="1">
      <c r="C218" s="4" t="n"/>
      <c r="D218" s="4" t="n"/>
      <c r="E218" s="4" t="n"/>
      <c r="F218" s="4" t="n"/>
      <c r="G218" s="4" t="n"/>
    </row>
    <row r="219" ht="15.75" customHeight="1">
      <c r="C219" s="4" t="n"/>
      <c r="D219" s="4" t="n"/>
      <c r="E219" s="4" t="n"/>
      <c r="F219" s="4" t="n"/>
      <c r="G219" s="4" t="n"/>
    </row>
    <row r="220" ht="15.75" customHeight="1">
      <c r="C220" s="4" t="n"/>
      <c r="D220" s="4" t="n"/>
      <c r="E220" s="4" t="n"/>
      <c r="F220" s="4" t="n"/>
      <c r="G220" s="4" t="n"/>
    </row>
    <row r="221" ht="15.75" customHeight="1">
      <c r="C221" s="4" t="n"/>
      <c r="D221" s="4" t="n"/>
      <c r="E221" s="4" t="n"/>
      <c r="F221" s="4" t="n"/>
      <c r="G221" s="4" t="n"/>
    </row>
    <row r="222" ht="15.75" customHeight="1">
      <c r="C222" s="4" t="n"/>
      <c r="D222" s="4" t="n"/>
      <c r="E222" s="4" t="n"/>
      <c r="F222" s="4" t="n"/>
      <c r="G222" s="4" t="n"/>
    </row>
    <row r="223" ht="15.75" customHeight="1">
      <c r="C223" s="4" t="n"/>
      <c r="D223" s="4" t="n"/>
      <c r="E223" s="4" t="n"/>
      <c r="F223" s="4" t="n"/>
      <c r="G223" s="4" t="n"/>
    </row>
    <row r="224" ht="15.75" customHeight="1">
      <c r="C224" s="4" t="n"/>
      <c r="D224" s="4" t="n"/>
      <c r="E224" s="4" t="n"/>
      <c r="F224" s="4" t="n"/>
      <c r="G224" s="4" t="n"/>
    </row>
    <row r="225" ht="15.75" customHeight="1">
      <c r="C225" s="4" t="n"/>
      <c r="D225" s="4" t="n"/>
      <c r="E225" s="4" t="n"/>
      <c r="F225" s="4" t="n"/>
      <c r="G225" s="4" t="n"/>
    </row>
    <row r="226" ht="15.75" customHeight="1">
      <c r="C226" s="4" t="n"/>
      <c r="D226" s="4" t="n"/>
      <c r="E226" s="4" t="n"/>
      <c r="F226" s="4" t="n"/>
      <c r="G226" s="4" t="n"/>
    </row>
    <row r="227" ht="15.75" customHeight="1">
      <c r="C227" s="4" t="n"/>
      <c r="D227" s="4" t="n"/>
      <c r="E227" s="4" t="n"/>
      <c r="F227" s="4" t="n"/>
      <c r="G227" s="4" t="n"/>
    </row>
    <row r="228" ht="15.75" customHeight="1">
      <c r="C228" s="4" t="n"/>
      <c r="D228" s="4" t="n"/>
      <c r="E228" s="4" t="n"/>
      <c r="F228" s="4" t="n"/>
      <c r="G228" s="4" t="n"/>
    </row>
    <row r="229" ht="15.75" customHeight="1">
      <c r="C229" s="4" t="n"/>
      <c r="D229" s="4" t="n"/>
      <c r="E229" s="4" t="n"/>
      <c r="F229" s="4" t="n"/>
      <c r="G229" s="4" t="n"/>
    </row>
    <row r="230" ht="15.75" customHeight="1">
      <c r="C230" s="4" t="n"/>
      <c r="D230" s="4" t="n"/>
      <c r="E230" s="4" t="n"/>
      <c r="F230" s="4" t="n"/>
      <c r="G230" s="4" t="n"/>
    </row>
    <row r="231" ht="15.75" customHeight="1">
      <c r="C231" s="4" t="n"/>
      <c r="D231" s="4" t="n"/>
      <c r="E231" s="4" t="n"/>
      <c r="F231" s="4" t="n"/>
      <c r="G231" s="4" t="n"/>
    </row>
    <row r="232" ht="15.75" customHeight="1">
      <c r="C232" s="4" t="n"/>
      <c r="D232" s="4" t="n"/>
      <c r="E232" s="4" t="n"/>
      <c r="F232" s="4" t="n"/>
      <c r="G232" s="4" t="n"/>
    </row>
    <row r="233" ht="15.75" customHeight="1">
      <c r="C233" s="4" t="n"/>
      <c r="D233" s="4" t="n"/>
      <c r="E233" s="4" t="n"/>
      <c r="F233" s="4" t="n"/>
      <c r="G233" s="4" t="n"/>
    </row>
    <row r="234" ht="15.75" customHeight="1">
      <c r="C234" s="4" t="n"/>
      <c r="D234" s="4" t="n"/>
      <c r="E234" s="4" t="n"/>
      <c r="F234" s="4" t="n"/>
      <c r="G234" s="4" t="n"/>
    </row>
    <row r="235" ht="15.75" customHeight="1">
      <c r="C235" s="4" t="n"/>
      <c r="D235" s="4" t="n"/>
      <c r="E235" s="4" t="n"/>
      <c r="F235" s="4" t="n"/>
      <c r="G235" s="4" t="n"/>
    </row>
    <row r="236" ht="15.75" customHeight="1">
      <c r="C236" s="4" t="n"/>
      <c r="D236" s="4" t="n"/>
      <c r="E236" s="4" t="n"/>
      <c r="F236" s="4" t="n"/>
      <c r="G236" s="4" t="n"/>
    </row>
    <row r="237" ht="15.75" customHeight="1">
      <c r="C237" s="4" t="n"/>
      <c r="D237" s="4" t="n"/>
      <c r="E237" s="4" t="n"/>
      <c r="F237" s="4" t="n"/>
      <c r="G237" s="4" t="n"/>
    </row>
    <row r="238" ht="15.75" customHeight="1">
      <c r="C238" s="4" t="n"/>
      <c r="D238" s="4" t="n"/>
      <c r="E238" s="4" t="n"/>
      <c r="F238" s="4" t="n"/>
      <c r="G238" s="4" t="n"/>
    </row>
    <row r="239" ht="15.75" customHeight="1">
      <c r="C239" s="4" t="n"/>
      <c r="D239" s="4" t="n"/>
      <c r="E239" s="4" t="n"/>
      <c r="F239" s="4" t="n"/>
      <c r="G239" s="4" t="n"/>
    </row>
    <row r="240" ht="15.75" customHeight="1">
      <c r="C240" s="4" t="n"/>
      <c r="D240" s="4" t="n"/>
      <c r="E240" s="4" t="n"/>
      <c r="F240" s="4" t="n"/>
      <c r="G240" s="4" t="n"/>
    </row>
    <row r="241" ht="15.75" customHeight="1">
      <c r="C241" s="4" t="n"/>
      <c r="D241" s="4" t="n"/>
      <c r="E241" s="4" t="n"/>
      <c r="F241" s="4" t="n"/>
      <c r="G241" s="4" t="n"/>
    </row>
    <row r="242" ht="15.75" customHeight="1">
      <c r="C242" s="4" t="n"/>
      <c r="D242" s="4" t="n"/>
      <c r="E242" s="4" t="n"/>
      <c r="F242" s="4" t="n"/>
      <c r="G242" s="4" t="n"/>
    </row>
    <row r="243" ht="15.75" customHeight="1">
      <c r="C243" s="4" t="n"/>
      <c r="D243" s="4" t="n"/>
      <c r="E243" s="4" t="n"/>
      <c r="F243" s="4" t="n"/>
      <c r="G243" s="4" t="n"/>
    </row>
    <row r="244" ht="15.75" customHeight="1">
      <c r="C244" s="4" t="n"/>
      <c r="D244" s="4" t="n"/>
      <c r="E244" s="4" t="n"/>
      <c r="F244" s="4" t="n"/>
      <c r="G244" s="4" t="n"/>
    </row>
    <row r="245" ht="15.75" customHeight="1">
      <c r="C245" s="4" t="n"/>
      <c r="D245" s="4" t="n"/>
      <c r="E245" s="4" t="n"/>
      <c r="F245" s="4" t="n"/>
      <c r="G245" s="4" t="n"/>
    </row>
    <row r="246" ht="15.75" customHeight="1">
      <c r="C246" s="4" t="n"/>
      <c r="D246" s="4" t="n"/>
      <c r="E246" s="4" t="n"/>
      <c r="F246" s="4" t="n"/>
      <c r="G246" s="4" t="n"/>
    </row>
    <row r="247" ht="15.75" customHeight="1">
      <c r="C247" s="4" t="n"/>
      <c r="D247" s="4" t="n"/>
      <c r="E247" s="4" t="n"/>
      <c r="F247" s="4" t="n"/>
      <c r="G247" s="4" t="n"/>
    </row>
    <row r="248" ht="15.75" customHeight="1">
      <c r="C248" s="4" t="n"/>
      <c r="D248" s="4" t="n"/>
      <c r="E248" s="4" t="n"/>
      <c r="F248" s="4" t="n"/>
      <c r="G248" s="4" t="n"/>
    </row>
    <row r="249" ht="15.75" customHeight="1">
      <c r="C249" s="4" t="n"/>
      <c r="D249" s="4" t="n"/>
      <c r="E249" s="4" t="n"/>
      <c r="F249" s="4" t="n"/>
      <c r="G249" s="4" t="n"/>
    </row>
    <row r="250" ht="15.75" customHeight="1">
      <c r="C250" s="4" t="n"/>
      <c r="D250" s="4" t="n"/>
      <c r="E250" s="4" t="n"/>
      <c r="F250" s="4" t="n"/>
      <c r="G250" s="4" t="n"/>
    </row>
    <row r="251" ht="15.75" customHeight="1">
      <c r="C251" s="4" t="n"/>
      <c r="D251" s="4" t="n"/>
      <c r="E251" s="4" t="n"/>
      <c r="F251" s="4" t="n"/>
      <c r="G251" s="4" t="n"/>
    </row>
    <row r="252" ht="15.75" customHeight="1">
      <c r="C252" s="4" t="n"/>
      <c r="D252" s="4" t="n"/>
      <c r="E252" s="4" t="n"/>
      <c r="F252" s="4" t="n"/>
      <c r="G252" s="4" t="n"/>
    </row>
    <row r="253" ht="15.75" customHeight="1">
      <c r="C253" s="4" t="n"/>
      <c r="D253" s="4" t="n"/>
      <c r="E253" s="4" t="n"/>
      <c r="F253" s="4" t="n"/>
      <c r="G253" s="4" t="n"/>
    </row>
    <row r="254" ht="15.75" customHeight="1">
      <c r="C254" s="4" t="n"/>
      <c r="D254" s="4" t="n"/>
      <c r="E254" s="4" t="n"/>
      <c r="F254" s="4" t="n"/>
      <c r="G254" s="4" t="n"/>
    </row>
    <row r="255" ht="15.75" customHeight="1">
      <c r="C255" s="4" t="n"/>
      <c r="D255" s="4" t="n"/>
      <c r="E255" s="4" t="n"/>
      <c r="F255" s="4" t="n"/>
      <c r="G255" s="4" t="n"/>
    </row>
    <row r="256" ht="15.75" customHeight="1">
      <c r="C256" s="4" t="n"/>
      <c r="D256" s="4" t="n"/>
      <c r="E256" s="4" t="n"/>
      <c r="F256" s="4" t="n"/>
      <c r="G256" s="4" t="n"/>
    </row>
    <row r="257" ht="15.75" customHeight="1">
      <c r="C257" s="4" t="n"/>
      <c r="D257" s="4" t="n"/>
      <c r="E257" s="4" t="n"/>
      <c r="F257" s="4" t="n"/>
      <c r="G257" s="4" t="n"/>
    </row>
    <row r="258" ht="15.75" customHeight="1">
      <c r="C258" s="4" t="n"/>
      <c r="D258" s="4" t="n"/>
      <c r="E258" s="4" t="n"/>
      <c r="F258" s="4" t="n"/>
      <c r="G258" s="4" t="n"/>
    </row>
    <row r="259" ht="15.75" customHeight="1">
      <c r="C259" s="4" t="n"/>
      <c r="D259" s="4" t="n"/>
      <c r="E259" s="4" t="n"/>
      <c r="F259" s="4" t="n"/>
      <c r="G259" s="4" t="n"/>
    </row>
    <row r="260" ht="15.75" customHeight="1">
      <c r="C260" s="4" t="n"/>
      <c r="D260" s="4" t="n"/>
      <c r="E260" s="4" t="n"/>
      <c r="F260" s="4" t="n"/>
      <c r="G260" s="4" t="n"/>
    </row>
    <row r="261" ht="15.75" customHeight="1">
      <c r="C261" s="4" t="n"/>
      <c r="D261" s="4" t="n"/>
      <c r="E261" s="4" t="n"/>
      <c r="F261" s="4" t="n"/>
      <c r="G261" s="4" t="n"/>
    </row>
    <row r="262" ht="15.75" customHeight="1">
      <c r="C262" s="4" t="n"/>
      <c r="D262" s="4" t="n"/>
      <c r="E262" s="4" t="n"/>
      <c r="F262" s="4" t="n"/>
      <c r="G262" s="4" t="n"/>
    </row>
    <row r="263" ht="15.75" customHeight="1">
      <c r="C263" s="4" t="n"/>
      <c r="D263" s="4" t="n"/>
      <c r="E263" s="4" t="n"/>
      <c r="F263" s="4" t="n"/>
      <c r="G263" s="4" t="n"/>
    </row>
    <row r="264" ht="15.75" customHeight="1">
      <c r="C264" s="4" t="n"/>
      <c r="D264" s="4" t="n"/>
      <c r="E264" s="4" t="n"/>
      <c r="F264" s="4" t="n"/>
      <c r="G264" s="4" t="n"/>
    </row>
    <row r="265" ht="15.75" customHeight="1">
      <c r="C265" s="4" t="n"/>
      <c r="D265" s="4" t="n"/>
      <c r="E265" s="4" t="n"/>
      <c r="F265" s="4" t="n"/>
      <c r="G265" s="4" t="n"/>
    </row>
    <row r="266" ht="15.75" customHeight="1">
      <c r="C266" s="4" t="n"/>
      <c r="D266" s="4" t="n"/>
      <c r="E266" s="4" t="n"/>
      <c r="F266" s="4" t="n"/>
      <c r="G266" s="4" t="n"/>
    </row>
    <row r="267" ht="15.75" customHeight="1">
      <c r="C267" s="4" t="n"/>
      <c r="D267" s="4" t="n"/>
      <c r="E267" s="4" t="n"/>
      <c r="F267" s="4" t="n"/>
      <c r="G267" s="4" t="n"/>
    </row>
    <row r="268" ht="15.75" customHeight="1">
      <c r="C268" s="4" t="n"/>
      <c r="D268" s="4" t="n"/>
      <c r="E268" s="4" t="n"/>
      <c r="F268" s="4" t="n"/>
      <c r="G268" s="4" t="n"/>
    </row>
    <row r="269" ht="15.75" customHeight="1">
      <c r="C269" s="4" t="n"/>
      <c r="D269" s="4" t="n"/>
      <c r="E269" s="4" t="n"/>
      <c r="F269" s="4" t="n"/>
      <c r="G269" s="4" t="n"/>
    </row>
    <row r="270" ht="15.75" customHeight="1">
      <c r="C270" s="4" t="n"/>
      <c r="D270" s="4" t="n"/>
      <c r="E270" s="4" t="n"/>
      <c r="F270" s="4" t="n"/>
      <c r="G270" s="4" t="n"/>
    </row>
    <row r="271" ht="15.75" customHeight="1">
      <c r="C271" s="4" t="n"/>
      <c r="D271" s="4" t="n"/>
      <c r="E271" s="4" t="n"/>
      <c r="F271" s="4" t="n"/>
      <c r="G271" s="4" t="n"/>
    </row>
    <row r="272" ht="15.75" customHeight="1">
      <c r="C272" s="4" t="n"/>
      <c r="D272" s="4" t="n"/>
      <c r="E272" s="4" t="n"/>
      <c r="F272" s="4" t="n"/>
      <c r="G272" s="4" t="n"/>
    </row>
    <row r="273" ht="15.75" customHeight="1">
      <c r="C273" s="4" t="n"/>
      <c r="D273" s="4" t="n"/>
      <c r="E273" s="4" t="n"/>
      <c r="F273" s="4" t="n"/>
      <c r="G273" s="4" t="n"/>
    </row>
    <row r="274" ht="15.75" customHeight="1">
      <c r="C274" s="4" t="n"/>
      <c r="D274" s="4" t="n"/>
      <c r="E274" s="4" t="n"/>
      <c r="F274" s="4" t="n"/>
      <c r="G274" s="4" t="n"/>
    </row>
    <row r="275" ht="15.75" customHeight="1">
      <c r="C275" s="4" t="n"/>
      <c r="D275" s="4" t="n"/>
      <c r="E275" s="4" t="n"/>
      <c r="F275" s="4" t="n"/>
      <c r="G275" s="4" t="n"/>
    </row>
    <row r="276" ht="15.75" customHeight="1">
      <c r="C276" s="4" t="n"/>
      <c r="D276" s="4" t="n"/>
      <c r="E276" s="4" t="n"/>
      <c r="F276" s="4" t="n"/>
      <c r="G276" s="4" t="n"/>
    </row>
    <row r="277" ht="15.75" customHeight="1">
      <c r="C277" s="4" t="n"/>
      <c r="D277" s="4" t="n"/>
      <c r="E277" s="4" t="n"/>
      <c r="F277" s="4" t="n"/>
      <c r="G277" s="4" t="n"/>
    </row>
    <row r="278" ht="15.75" customHeight="1">
      <c r="C278" s="4" t="n"/>
      <c r="D278" s="4" t="n"/>
      <c r="E278" s="4" t="n"/>
      <c r="F278" s="4" t="n"/>
      <c r="G278" s="4" t="n"/>
    </row>
    <row r="279" ht="15.75" customHeight="1">
      <c r="C279" s="4" t="n"/>
      <c r="D279" s="4" t="n"/>
      <c r="E279" s="4" t="n"/>
      <c r="F279" s="4" t="n"/>
      <c r="G279" s="4" t="n"/>
    </row>
    <row r="280" ht="15.75" customHeight="1">
      <c r="C280" s="4" t="n"/>
      <c r="D280" s="4" t="n"/>
      <c r="E280" s="4" t="n"/>
      <c r="F280" s="4" t="n"/>
      <c r="G280" s="4" t="n"/>
    </row>
    <row r="281" ht="15.75" customHeight="1">
      <c r="C281" s="4" t="n"/>
      <c r="D281" s="4" t="n"/>
      <c r="E281" s="4" t="n"/>
      <c r="F281" s="4" t="n"/>
      <c r="G281" s="4" t="n"/>
    </row>
    <row r="282" ht="15.75" customHeight="1">
      <c r="C282" s="4" t="n"/>
      <c r="D282" s="4" t="n"/>
      <c r="E282" s="4" t="n"/>
      <c r="F282" s="4" t="n"/>
      <c r="G282" s="4" t="n"/>
    </row>
    <row r="283" ht="15.75" customHeight="1">
      <c r="C283" s="4" t="n"/>
      <c r="D283" s="4" t="n"/>
      <c r="E283" s="4" t="n"/>
      <c r="F283" s="4" t="n"/>
      <c r="G283" s="4" t="n"/>
    </row>
    <row r="284" ht="15.75" customHeight="1">
      <c r="C284" s="4" t="n"/>
      <c r="D284" s="4" t="n"/>
      <c r="E284" s="4" t="n"/>
      <c r="F284" s="4" t="n"/>
      <c r="G284" s="4" t="n"/>
    </row>
    <row r="285" ht="15.75" customHeight="1">
      <c r="C285" s="4" t="n"/>
      <c r="D285" s="4" t="n"/>
      <c r="E285" s="4" t="n"/>
      <c r="F285" s="4" t="n"/>
      <c r="G285" s="4" t="n"/>
    </row>
    <row r="286" ht="15.75" customHeight="1">
      <c r="C286" s="4" t="n"/>
      <c r="D286" s="4" t="n"/>
      <c r="E286" s="4" t="n"/>
      <c r="F286" s="4" t="n"/>
      <c r="G286" s="4" t="n"/>
    </row>
    <row r="287" ht="15.75" customHeight="1">
      <c r="C287" s="4" t="n"/>
      <c r="D287" s="4" t="n"/>
      <c r="E287" s="4" t="n"/>
      <c r="F287" s="4" t="n"/>
      <c r="G287" s="4" t="n"/>
    </row>
    <row r="288" ht="15.75" customHeight="1">
      <c r="C288" s="4" t="n"/>
      <c r="D288" s="4" t="n"/>
      <c r="E288" s="4" t="n"/>
      <c r="F288" s="4" t="n"/>
      <c r="G288" s="4" t="n"/>
    </row>
    <row r="289" ht="15.75" customHeight="1">
      <c r="C289" s="4" t="n"/>
      <c r="D289" s="4" t="n"/>
      <c r="E289" s="4" t="n"/>
      <c r="F289" s="4" t="n"/>
      <c r="G289" s="4" t="n"/>
    </row>
    <row r="290" ht="15.75" customHeight="1">
      <c r="C290" s="4" t="n"/>
      <c r="D290" s="4" t="n"/>
      <c r="E290" s="4" t="n"/>
      <c r="F290" s="4" t="n"/>
      <c r="G290" s="4" t="n"/>
    </row>
    <row r="291" ht="15.75" customHeight="1">
      <c r="C291" s="4" t="n"/>
      <c r="D291" s="4" t="n"/>
      <c r="E291" s="4" t="n"/>
      <c r="F291" s="4" t="n"/>
      <c r="G291" s="4" t="n"/>
    </row>
    <row r="292" ht="15.75" customHeight="1">
      <c r="C292" s="4" t="n"/>
      <c r="D292" s="4" t="n"/>
      <c r="E292" s="4" t="n"/>
      <c r="F292" s="4" t="n"/>
      <c r="G292" s="4" t="n"/>
    </row>
    <row r="293" ht="15.75" customHeight="1">
      <c r="C293" s="4" t="n"/>
      <c r="D293" s="4" t="n"/>
      <c r="E293" s="4" t="n"/>
      <c r="F293" s="4" t="n"/>
      <c r="G293" s="4" t="n"/>
    </row>
    <row r="294" ht="15.75" customHeight="1">
      <c r="C294" s="4" t="n"/>
      <c r="D294" s="4" t="n"/>
      <c r="E294" s="4" t="n"/>
      <c r="F294" s="4" t="n"/>
      <c r="G294" s="4" t="n"/>
    </row>
    <row r="295" ht="15.75" customHeight="1">
      <c r="C295" s="4" t="n"/>
      <c r="D295" s="4" t="n"/>
      <c r="E295" s="4" t="n"/>
      <c r="F295" s="4" t="n"/>
      <c r="G295" s="4" t="n"/>
    </row>
    <row r="296" ht="15.75" customHeight="1">
      <c r="C296" s="4" t="n"/>
      <c r="D296" s="4" t="n"/>
      <c r="E296" s="4" t="n"/>
      <c r="F296" s="4" t="n"/>
      <c r="G296" s="4" t="n"/>
    </row>
    <row r="297" ht="15.75" customHeight="1">
      <c r="C297" s="4" t="n"/>
      <c r="D297" s="4" t="n"/>
      <c r="E297" s="4" t="n"/>
      <c r="F297" s="4" t="n"/>
      <c r="G297" s="4" t="n"/>
    </row>
    <row r="298" ht="15.75" customHeight="1">
      <c r="C298" s="4" t="n"/>
      <c r="D298" s="4" t="n"/>
      <c r="E298" s="4" t="n"/>
      <c r="F298" s="4" t="n"/>
      <c r="G298" s="4" t="n"/>
    </row>
    <row r="299" ht="15.75" customHeight="1">
      <c r="C299" s="4" t="n"/>
      <c r="D299" s="4" t="n"/>
      <c r="E299" s="4" t="n"/>
      <c r="F299" s="4" t="n"/>
      <c r="G299" s="4" t="n"/>
    </row>
    <row r="300" ht="15.75" customHeight="1">
      <c r="C300" s="4" t="n"/>
      <c r="D300" s="4" t="n"/>
      <c r="E300" s="4" t="n"/>
      <c r="F300" s="4" t="n"/>
      <c r="G300" s="4" t="n"/>
    </row>
    <row r="301" ht="15.75" customHeight="1">
      <c r="C301" s="4" t="n"/>
      <c r="D301" s="4" t="n"/>
      <c r="E301" s="4" t="n"/>
      <c r="F301" s="4" t="n"/>
      <c r="G301" s="4" t="n"/>
    </row>
    <row r="302" ht="15.75" customHeight="1">
      <c r="C302" s="4" t="n"/>
      <c r="D302" s="4" t="n"/>
      <c r="E302" s="4" t="n"/>
      <c r="F302" s="4" t="n"/>
      <c r="G302" s="4" t="n"/>
    </row>
    <row r="303" ht="15.75" customHeight="1">
      <c r="C303" s="4" t="n"/>
      <c r="D303" s="4" t="n"/>
      <c r="E303" s="4" t="n"/>
      <c r="F303" s="4" t="n"/>
      <c r="G303" s="4" t="n"/>
    </row>
    <row r="304" ht="15.75" customHeight="1">
      <c r="C304" s="4" t="n"/>
      <c r="D304" s="4" t="n"/>
      <c r="E304" s="4" t="n"/>
      <c r="F304" s="4" t="n"/>
      <c r="G304" s="4" t="n"/>
    </row>
    <row r="305" ht="15.75" customHeight="1">
      <c r="C305" s="4" t="n"/>
      <c r="D305" s="4" t="n"/>
      <c r="E305" s="4" t="n"/>
      <c r="F305" s="4" t="n"/>
      <c r="G305" s="4" t="n"/>
    </row>
    <row r="306" ht="15.75" customHeight="1">
      <c r="C306" s="4" t="n"/>
      <c r="D306" s="4" t="n"/>
      <c r="E306" s="4" t="n"/>
      <c r="F306" s="4" t="n"/>
      <c r="G306" s="4" t="n"/>
    </row>
    <row r="307" ht="15.75" customHeight="1">
      <c r="C307" s="4" t="n"/>
      <c r="D307" s="4" t="n"/>
      <c r="E307" s="4" t="n"/>
      <c r="F307" s="4" t="n"/>
      <c r="G307" s="4" t="n"/>
    </row>
    <row r="308" ht="15.75" customHeight="1">
      <c r="C308" s="4" t="n"/>
      <c r="D308" s="4" t="n"/>
      <c r="E308" s="4" t="n"/>
      <c r="F308" s="4" t="n"/>
      <c r="G308" s="4" t="n"/>
    </row>
    <row r="309" ht="15.75" customHeight="1">
      <c r="C309" s="4" t="n"/>
      <c r="D309" s="4" t="n"/>
      <c r="E309" s="4" t="n"/>
      <c r="F309" s="4" t="n"/>
      <c r="G309" s="4" t="n"/>
    </row>
    <row r="310" ht="15.75" customHeight="1">
      <c r="C310" s="4" t="n"/>
      <c r="D310" s="4" t="n"/>
      <c r="E310" s="4" t="n"/>
      <c r="F310" s="4" t="n"/>
      <c r="G310" s="4" t="n"/>
    </row>
    <row r="311" ht="15.75" customHeight="1">
      <c r="C311" s="4" t="n"/>
      <c r="D311" s="4" t="n"/>
      <c r="E311" s="4" t="n"/>
      <c r="F311" s="4" t="n"/>
      <c r="G311" s="4" t="n"/>
    </row>
    <row r="312" ht="15.75" customHeight="1">
      <c r="C312" s="4" t="n"/>
      <c r="D312" s="4" t="n"/>
      <c r="E312" s="4" t="n"/>
      <c r="F312" s="4" t="n"/>
      <c r="G312" s="4" t="n"/>
    </row>
    <row r="313" ht="15.75" customHeight="1">
      <c r="C313" s="4" t="n"/>
      <c r="D313" s="4" t="n"/>
      <c r="E313" s="4" t="n"/>
      <c r="F313" s="4" t="n"/>
      <c r="G313" s="4" t="n"/>
    </row>
    <row r="314" ht="15.75" customHeight="1">
      <c r="C314" s="4" t="n"/>
      <c r="D314" s="4" t="n"/>
      <c r="E314" s="4" t="n"/>
      <c r="F314" s="4" t="n"/>
      <c r="G314" s="4" t="n"/>
    </row>
    <row r="315" ht="15.75" customHeight="1">
      <c r="C315" s="4" t="n"/>
      <c r="D315" s="4" t="n"/>
      <c r="E315" s="4" t="n"/>
      <c r="F315" s="4" t="n"/>
      <c r="G315" s="4" t="n"/>
    </row>
    <row r="316" ht="15.75" customHeight="1">
      <c r="C316" s="4" t="n"/>
      <c r="D316" s="4" t="n"/>
      <c r="E316" s="4" t="n"/>
      <c r="F316" s="4" t="n"/>
      <c r="G316" s="4" t="n"/>
    </row>
    <row r="317" ht="15.75" customHeight="1">
      <c r="C317" s="4" t="n"/>
      <c r="D317" s="4" t="n"/>
      <c r="E317" s="4" t="n"/>
      <c r="F317" s="4" t="n"/>
      <c r="G317" s="4" t="n"/>
    </row>
    <row r="318" ht="15.75" customHeight="1">
      <c r="C318" s="4" t="n"/>
      <c r="D318" s="4" t="n"/>
      <c r="E318" s="4" t="n"/>
      <c r="F318" s="4" t="n"/>
      <c r="G318" s="4" t="n"/>
    </row>
    <row r="319" ht="15.75" customHeight="1">
      <c r="C319" s="4" t="n"/>
      <c r="D319" s="4" t="n"/>
      <c r="E319" s="4" t="n"/>
      <c r="F319" s="4" t="n"/>
      <c r="G319" s="4" t="n"/>
    </row>
    <row r="320" ht="15.75" customHeight="1">
      <c r="C320" s="4" t="n"/>
      <c r="D320" s="4" t="n"/>
      <c r="E320" s="4" t="n"/>
      <c r="F320" s="4" t="n"/>
      <c r="G320" s="4" t="n"/>
    </row>
    <row r="321" ht="15.75" customHeight="1">
      <c r="C321" s="4" t="n"/>
      <c r="D321" s="4" t="n"/>
      <c r="E321" s="4" t="n"/>
      <c r="F321" s="4" t="n"/>
      <c r="G321" s="4" t="n"/>
    </row>
    <row r="322" ht="15.75" customHeight="1">
      <c r="C322" s="4" t="n"/>
      <c r="D322" s="4" t="n"/>
      <c r="E322" s="4" t="n"/>
      <c r="F322" s="4" t="n"/>
      <c r="G322" s="4" t="n"/>
    </row>
    <row r="323" ht="15.75" customHeight="1">
      <c r="C323" s="4" t="n"/>
      <c r="D323" s="4" t="n"/>
      <c r="E323" s="4" t="n"/>
      <c r="F323" s="4" t="n"/>
      <c r="G323" s="4" t="n"/>
    </row>
    <row r="324" ht="15.75" customHeight="1">
      <c r="C324" s="4" t="n"/>
      <c r="D324" s="4" t="n"/>
      <c r="E324" s="4" t="n"/>
      <c r="F324" s="4" t="n"/>
      <c r="G324" s="4" t="n"/>
    </row>
    <row r="325" ht="15.75" customHeight="1">
      <c r="C325" s="4" t="n"/>
      <c r="D325" s="4" t="n"/>
      <c r="E325" s="4" t="n"/>
      <c r="F325" s="4" t="n"/>
      <c r="G325" s="4" t="n"/>
    </row>
    <row r="326" ht="15.75" customHeight="1">
      <c r="C326" s="4" t="n"/>
      <c r="D326" s="4" t="n"/>
      <c r="E326" s="4" t="n"/>
      <c r="F326" s="4" t="n"/>
      <c r="G326" s="4" t="n"/>
    </row>
    <row r="327" ht="15.75" customHeight="1">
      <c r="C327" s="4" t="n"/>
      <c r="D327" s="4" t="n"/>
      <c r="E327" s="4" t="n"/>
      <c r="F327" s="4" t="n"/>
      <c r="G327" s="4" t="n"/>
    </row>
    <row r="328" ht="15.75" customHeight="1">
      <c r="C328" s="4" t="n"/>
      <c r="D328" s="4" t="n"/>
      <c r="E328" s="4" t="n"/>
      <c r="F328" s="4" t="n"/>
      <c r="G328" s="4" t="n"/>
    </row>
    <row r="329" ht="15.75" customHeight="1">
      <c r="C329" s="4" t="n"/>
      <c r="D329" s="4" t="n"/>
      <c r="E329" s="4" t="n"/>
      <c r="F329" s="4" t="n"/>
      <c r="G329" s="4" t="n"/>
    </row>
    <row r="330" ht="15.75" customHeight="1">
      <c r="C330" s="4" t="n"/>
      <c r="D330" s="4" t="n"/>
      <c r="E330" s="4" t="n"/>
      <c r="F330" s="4" t="n"/>
      <c r="G330" s="4" t="n"/>
    </row>
    <row r="331" ht="15.75" customHeight="1">
      <c r="C331" s="4" t="n"/>
      <c r="D331" s="4" t="n"/>
      <c r="E331" s="4" t="n"/>
      <c r="F331" s="4" t="n"/>
      <c r="G331" s="4" t="n"/>
    </row>
    <row r="332" ht="15.75" customHeight="1">
      <c r="C332" s="4" t="n"/>
      <c r="D332" s="4" t="n"/>
      <c r="E332" s="4" t="n"/>
      <c r="F332" s="4" t="n"/>
      <c r="G332" s="4" t="n"/>
    </row>
    <row r="333" ht="15.75" customHeight="1">
      <c r="C333" s="4" t="n"/>
      <c r="D333" s="4" t="n"/>
      <c r="E333" s="4" t="n"/>
      <c r="F333" s="4" t="n"/>
      <c r="G333" s="4" t="n"/>
    </row>
    <row r="334" ht="15.75" customHeight="1">
      <c r="C334" s="4" t="n"/>
      <c r="D334" s="4" t="n"/>
      <c r="E334" s="4" t="n"/>
      <c r="F334" s="4" t="n"/>
      <c r="G334" s="4" t="n"/>
    </row>
    <row r="335" ht="15.75" customHeight="1">
      <c r="C335" s="4" t="n"/>
      <c r="D335" s="4" t="n"/>
      <c r="E335" s="4" t="n"/>
      <c r="F335" s="4" t="n"/>
      <c r="G335" s="4" t="n"/>
    </row>
    <row r="336" ht="15.75" customHeight="1">
      <c r="C336" s="4" t="n"/>
      <c r="D336" s="4" t="n"/>
      <c r="E336" s="4" t="n"/>
      <c r="F336" s="4" t="n"/>
      <c r="G336" s="4" t="n"/>
    </row>
    <row r="337" ht="15.75" customHeight="1">
      <c r="C337" s="4" t="n"/>
      <c r="D337" s="4" t="n"/>
      <c r="E337" s="4" t="n"/>
      <c r="F337" s="4" t="n"/>
      <c r="G337" s="4" t="n"/>
    </row>
    <row r="338" ht="15.75" customHeight="1">
      <c r="C338" s="4" t="n"/>
      <c r="D338" s="4" t="n"/>
      <c r="E338" s="4" t="n"/>
      <c r="F338" s="4" t="n"/>
      <c r="G338" s="4" t="n"/>
    </row>
    <row r="339" ht="15.75" customHeight="1">
      <c r="C339" s="4" t="n"/>
      <c r="D339" s="4" t="n"/>
      <c r="E339" s="4" t="n"/>
      <c r="F339" s="4" t="n"/>
      <c r="G339" s="4" t="n"/>
    </row>
    <row r="340" ht="15.75" customHeight="1">
      <c r="C340" s="4" t="n"/>
      <c r="D340" s="4" t="n"/>
      <c r="E340" s="4" t="n"/>
      <c r="F340" s="4" t="n"/>
      <c r="G340" s="4" t="n"/>
    </row>
    <row r="341" ht="15.75" customHeight="1">
      <c r="C341" s="4" t="n"/>
      <c r="D341" s="4" t="n"/>
      <c r="E341" s="4" t="n"/>
      <c r="F341" s="4" t="n"/>
      <c r="G341" s="4" t="n"/>
    </row>
    <row r="342" ht="15.75" customHeight="1">
      <c r="C342" s="4" t="n"/>
      <c r="D342" s="4" t="n"/>
      <c r="E342" s="4" t="n"/>
      <c r="F342" s="4" t="n"/>
      <c r="G342" s="4" t="n"/>
    </row>
    <row r="343" ht="15.75" customHeight="1">
      <c r="C343" s="4" t="n"/>
      <c r="D343" s="4" t="n"/>
      <c r="E343" s="4" t="n"/>
      <c r="F343" s="4" t="n"/>
      <c r="G343" s="4" t="n"/>
    </row>
    <row r="344" ht="15.75" customHeight="1">
      <c r="C344" s="4" t="n"/>
      <c r="D344" s="4" t="n"/>
      <c r="E344" s="4" t="n"/>
      <c r="F344" s="4" t="n"/>
      <c r="G344" s="4" t="n"/>
    </row>
    <row r="345" ht="15.75" customHeight="1">
      <c r="C345" s="4" t="n"/>
      <c r="D345" s="4" t="n"/>
      <c r="E345" s="4" t="n"/>
      <c r="F345" s="4" t="n"/>
      <c r="G345" s="4" t="n"/>
    </row>
    <row r="346" ht="15.75" customHeight="1">
      <c r="C346" s="4" t="n"/>
      <c r="D346" s="4" t="n"/>
      <c r="E346" s="4" t="n"/>
      <c r="F346" s="4" t="n"/>
      <c r="G346" s="4" t="n"/>
    </row>
    <row r="347" ht="15.75" customHeight="1">
      <c r="C347" s="4" t="n"/>
      <c r="D347" s="4" t="n"/>
      <c r="E347" s="4" t="n"/>
      <c r="F347" s="4" t="n"/>
      <c r="G347" s="4" t="n"/>
    </row>
    <row r="348" ht="15.75" customHeight="1">
      <c r="C348" s="4" t="n"/>
      <c r="D348" s="4" t="n"/>
      <c r="E348" s="4" t="n"/>
      <c r="F348" s="4" t="n"/>
      <c r="G348" s="4" t="n"/>
    </row>
    <row r="349" ht="15.75" customHeight="1">
      <c r="C349" s="4" t="n"/>
      <c r="D349" s="4" t="n"/>
      <c r="E349" s="4" t="n"/>
      <c r="F349" s="4" t="n"/>
      <c r="G349" s="4" t="n"/>
    </row>
    <row r="350" ht="15.75" customHeight="1">
      <c r="C350" s="4" t="n"/>
      <c r="D350" s="4" t="n"/>
      <c r="E350" s="4" t="n"/>
      <c r="F350" s="4" t="n"/>
      <c r="G350" s="4" t="n"/>
    </row>
    <row r="351" ht="15.75" customHeight="1">
      <c r="C351" s="4" t="n"/>
      <c r="D351" s="4" t="n"/>
      <c r="E351" s="4" t="n"/>
      <c r="F351" s="4" t="n"/>
      <c r="G351" s="4" t="n"/>
    </row>
    <row r="352" ht="15.75" customHeight="1">
      <c r="C352" s="4" t="n"/>
      <c r="D352" s="4" t="n"/>
      <c r="E352" s="4" t="n"/>
      <c r="F352" s="4" t="n"/>
      <c r="G352" s="4" t="n"/>
    </row>
    <row r="353" ht="15.75" customHeight="1">
      <c r="C353" s="4" t="n"/>
      <c r="D353" s="4" t="n"/>
      <c r="E353" s="4" t="n"/>
      <c r="F353" s="4" t="n"/>
      <c r="G353" s="4" t="n"/>
    </row>
    <row r="354" ht="15.75" customHeight="1">
      <c r="C354" s="4" t="n"/>
      <c r="D354" s="4" t="n"/>
      <c r="E354" s="4" t="n"/>
      <c r="F354" s="4" t="n"/>
      <c r="G354" s="4" t="n"/>
    </row>
    <row r="355" ht="15.75" customHeight="1">
      <c r="C355" s="4" t="n"/>
      <c r="D355" s="4" t="n"/>
      <c r="E355" s="4" t="n"/>
      <c r="F355" s="4" t="n"/>
      <c r="G355" s="4" t="n"/>
    </row>
    <row r="356" ht="15.75" customHeight="1">
      <c r="C356" s="4" t="n"/>
      <c r="D356" s="4" t="n"/>
      <c r="E356" s="4" t="n"/>
      <c r="F356" s="4" t="n"/>
      <c r="G356" s="4" t="n"/>
    </row>
    <row r="357" ht="15.75" customHeight="1">
      <c r="C357" s="4" t="n"/>
      <c r="D357" s="4" t="n"/>
      <c r="E357" s="4" t="n"/>
      <c r="F357" s="4" t="n"/>
      <c r="G357" s="4" t="n"/>
    </row>
    <row r="358" ht="15.75" customHeight="1">
      <c r="C358" s="4" t="n"/>
      <c r="D358" s="4" t="n"/>
      <c r="E358" s="4" t="n"/>
      <c r="F358" s="4" t="n"/>
      <c r="G358" s="4" t="n"/>
    </row>
    <row r="359" ht="15.75" customHeight="1">
      <c r="C359" s="4" t="n"/>
      <c r="D359" s="4" t="n"/>
      <c r="E359" s="4" t="n"/>
      <c r="F359" s="4" t="n"/>
      <c r="G359" s="4" t="n"/>
    </row>
    <row r="360" ht="15.75" customHeight="1">
      <c r="C360" s="4" t="n"/>
      <c r="D360" s="4" t="n"/>
      <c r="E360" s="4" t="n"/>
      <c r="F360" s="4" t="n"/>
      <c r="G360" s="4" t="n"/>
    </row>
    <row r="361" ht="15.75" customHeight="1">
      <c r="C361" s="4" t="n"/>
      <c r="D361" s="4" t="n"/>
      <c r="E361" s="4" t="n"/>
      <c r="F361" s="4" t="n"/>
      <c r="G361" s="4" t="n"/>
    </row>
    <row r="362" ht="15.75" customHeight="1">
      <c r="C362" s="4" t="n"/>
      <c r="D362" s="4" t="n"/>
      <c r="E362" s="4" t="n"/>
      <c r="F362" s="4" t="n"/>
      <c r="G362" s="4" t="n"/>
    </row>
    <row r="363" ht="15.75" customHeight="1">
      <c r="C363" s="4" t="n"/>
      <c r="D363" s="4" t="n"/>
      <c r="E363" s="4" t="n"/>
      <c r="F363" s="4" t="n"/>
      <c r="G363" s="4" t="n"/>
    </row>
    <row r="364" ht="15.75" customHeight="1">
      <c r="C364" s="4" t="n"/>
      <c r="D364" s="4" t="n"/>
      <c r="E364" s="4" t="n"/>
      <c r="F364" s="4" t="n"/>
      <c r="G364" s="4" t="n"/>
    </row>
    <row r="365" ht="15.75" customHeight="1">
      <c r="C365" s="4" t="n"/>
      <c r="D365" s="4" t="n"/>
      <c r="E365" s="4" t="n"/>
      <c r="F365" s="4" t="n"/>
      <c r="G365" s="4" t="n"/>
    </row>
    <row r="366" ht="15.75" customHeight="1">
      <c r="C366" s="4" t="n"/>
      <c r="D366" s="4" t="n"/>
      <c r="E366" s="4" t="n"/>
      <c r="F366" s="4" t="n"/>
      <c r="G366" s="4" t="n"/>
    </row>
    <row r="367" ht="15.75" customHeight="1">
      <c r="C367" s="4" t="n"/>
      <c r="D367" s="4" t="n"/>
      <c r="E367" s="4" t="n"/>
      <c r="F367" s="4" t="n"/>
      <c r="G367" s="4" t="n"/>
    </row>
    <row r="368" ht="15.75" customHeight="1">
      <c r="C368" s="4" t="n"/>
      <c r="D368" s="4" t="n"/>
      <c r="E368" s="4" t="n"/>
      <c r="F368" s="4" t="n"/>
      <c r="G368" s="4" t="n"/>
    </row>
    <row r="369" ht="15.75" customHeight="1">
      <c r="C369" s="4" t="n"/>
      <c r="D369" s="4" t="n"/>
      <c r="E369" s="4" t="n"/>
      <c r="F369" s="4" t="n"/>
      <c r="G369" s="4" t="n"/>
    </row>
    <row r="370" ht="15.75" customHeight="1">
      <c r="C370" s="4" t="n"/>
      <c r="D370" s="4" t="n"/>
      <c r="E370" s="4" t="n"/>
      <c r="F370" s="4" t="n"/>
      <c r="G370" s="4" t="n"/>
    </row>
    <row r="371" ht="15.75" customHeight="1">
      <c r="C371" s="4" t="n"/>
      <c r="D371" s="4" t="n"/>
      <c r="E371" s="4" t="n"/>
      <c r="F371" s="4" t="n"/>
      <c r="G371" s="4" t="n"/>
    </row>
    <row r="372" ht="15.75" customHeight="1">
      <c r="C372" s="4" t="n"/>
      <c r="D372" s="4" t="n"/>
      <c r="E372" s="4" t="n"/>
      <c r="F372" s="4" t="n"/>
      <c r="G372" s="4" t="n"/>
    </row>
    <row r="373" ht="15.75" customHeight="1">
      <c r="C373" s="4" t="n"/>
      <c r="D373" s="4" t="n"/>
      <c r="E373" s="4" t="n"/>
      <c r="F373" s="4" t="n"/>
      <c r="G373" s="4" t="n"/>
    </row>
    <row r="374" ht="15.75" customHeight="1">
      <c r="C374" s="4" t="n"/>
      <c r="D374" s="4" t="n"/>
      <c r="E374" s="4" t="n"/>
      <c r="F374" s="4" t="n"/>
      <c r="G374" s="4" t="n"/>
    </row>
    <row r="375" ht="15.75" customHeight="1">
      <c r="C375" s="4" t="n"/>
      <c r="D375" s="4" t="n"/>
      <c r="E375" s="4" t="n"/>
      <c r="F375" s="4" t="n"/>
      <c r="G375" s="4" t="n"/>
    </row>
    <row r="376" ht="15.75" customHeight="1">
      <c r="C376" s="4" t="n"/>
      <c r="D376" s="4" t="n"/>
      <c r="E376" s="4" t="n"/>
      <c r="F376" s="4" t="n"/>
      <c r="G376" s="4" t="n"/>
    </row>
    <row r="377" ht="15.75" customHeight="1">
      <c r="C377" s="4" t="n"/>
      <c r="D377" s="4" t="n"/>
      <c r="E377" s="4" t="n"/>
      <c r="F377" s="4" t="n"/>
      <c r="G377" s="4" t="n"/>
    </row>
    <row r="378" ht="15.75" customHeight="1">
      <c r="C378" s="4" t="n"/>
      <c r="D378" s="4" t="n"/>
      <c r="E378" s="4" t="n"/>
      <c r="F378" s="4" t="n"/>
      <c r="G378" s="4" t="n"/>
    </row>
    <row r="379" ht="15.75" customHeight="1">
      <c r="C379" s="4" t="n"/>
      <c r="D379" s="4" t="n"/>
      <c r="E379" s="4" t="n"/>
      <c r="F379" s="4" t="n"/>
      <c r="G379" s="4" t="n"/>
    </row>
    <row r="380" ht="15.75" customHeight="1">
      <c r="C380" s="4" t="n"/>
      <c r="D380" s="4" t="n"/>
      <c r="E380" s="4" t="n"/>
      <c r="F380" s="4" t="n"/>
      <c r="G380" s="4" t="n"/>
    </row>
    <row r="381" ht="15.75" customHeight="1">
      <c r="C381" s="4" t="n"/>
      <c r="D381" s="4" t="n"/>
      <c r="E381" s="4" t="n"/>
      <c r="F381" s="4" t="n"/>
      <c r="G381" s="4" t="n"/>
    </row>
    <row r="382" ht="15.75" customHeight="1">
      <c r="C382" s="4" t="n"/>
      <c r="D382" s="4" t="n"/>
      <c r="E382" s="4" t="n"/>
      <c r="F382" s="4" t="n"/>
      <c r="G382" s="4" t="n"/>
    </row>
    <row r="383" ht="15.75" customHeight="1">
      <c r="C383" s="4" t="n"/>
      <c r="D383" s="4" t="n"/>
      <c r="E383" s="4" t="n"/>
      <c r="F383" s="4" t="n"/>
      <c r="G383" s="4" t="n"/>
    </row>
    <row r="384" ht="15.75" customHeight="1">
      <c r="C384" s="4" t="n"/>
      <c r="D384" s="4" t="n"/>
      <c r="E384" s="4" t="n"/>
      <c r="F384" s="4" t="n"/>
      <c r="G384" s="4" t="n"/>
    </row>
    <row r="385" ht="15.75" customHeight="1">
      <c r="C385" s="4" t="n"/>
      <c r="D385" s="4" t="n"/>
      <c r="E385" s="4" t="n"/>
      <c r="F385" s="4" t="n"/>
      <c r="G385" s="4" t="n"/>
    </row>
    <row r="386" ht="15.75" customHeight="1">
      <c r="C386" s="4" t="n"/>
      <c r="D386" s="4" t="n"/>
      <c r="E386" s="4" t="n"/>
      <c r="F386" s="4" t="n"/>
      <c r="G386" s="4" t="n"/>
    </row>
    <row r="387" ht="15.75" customHeight="1">
      <c r="C387" s="4" t="n"/>
      <c r="D387" s="4" t="n"/>
      <c r="E387" s="4" t="n"/>
      <c r="F387" s="4" t="n"/>
      <c r="G387" s="4" t="n"/>
    </row>
    <row r="388" ht="15.75" customHeight="1">
      <c r="C388" s="4" t="n"/>
      <c r="D388" s="4" t="n"/>
      <c r="E388" s="4" t="n"/>
      <c r="F388" s="4" t="n"/>
      <c r="G388" s="4" t="n"/>
    </row>
    <row r="389" ht="15.75" customHeight="1">
      <c r="C389" s="4" t="n"/>
      <c r="D389" s="4" t="n"/>
      <c r="E389" s="4" t="n"/>
      <c r="F389" s="4" t="n"/>
      <c r="G389" s="4" t="n"/>
    </row>
    <row r="390" ht="15.75" customHeight="1">
      <c r="C390" s="4" t="n"/>
      <c r="D390" s="4" t="n"/>
      <c r="E390" s="4" t="n"/>
      <c r="F390" s="4" t="n"/>
      <c r="G390" s="4" t="n"/>
    </row>
    <row r="391" ht="15.75" customHeight="1">
      <c r="C391" s="4" t="n"/>
      <c r="D391" s="4" t="n"/>
      <c r="E391" s="4" t="n"/>
      <c r="F391" s="4" t="n"/>
      <c r="G391" s="4" t="n"/>
    </row>
    <row r="392" ht="15.75" customHeight="1">
      <c r="C392" s="4" t="n"/>
      <c r="D392" s="4" t="n"/>
      <c r="E392" s="4" t="n"/>
      <c r="F392" s="4" t="n"/>
      <c r="G392" s="4" t="n"/>
    </row>
    <row r="393" ht="15.75" customHeight="1">
      <c r="C393" s="4" t="n"/>
      <c r="D393" s="4" t="n"/>
      <c r="E393" s="4" t="n"/>
      <c r="F393" s="4" t="n"/>
      <c r="G393" s="4" t="n"/>
    </row>
    <row r="394" ht="15.75" customHeight="1">
      <c r="C394" s="4" t="n"/>
      <c r="D394" s="4" t="n"/>
      <c r="E394" s="4" t="n"/>
      <c r="F394" s="4" t="n"/>
      <c r="G394" s="4" t="n"/>
    </row>
    <row r="395" ht="15.75" customHeight="1">
      <c r="C395" s="4" t="n"/>
      <c r="D395" s="4" t="n"/>
      <c r="E395" s="4" t="n"/>
      <c r="F395" s="4" t="n"/>
      <c r="G395" s="4" t="n"/>
    </row>
    <row r="396" ht="15.75" customHeight="1">
      <c r="C396" s="4" t="n"/>
      <c r="D396" s="4" t="n"/>
      <c r="E396" s="4" t="n"/>
      <c r="F396" s="4" t="n"/>
      <c r="G396" s="4" t="n"/>
    </row>
    <row r="397" ht="15.75" customHeight="1">
      <c r="C397" s="4" t="n"/>
      <c r="D397" s="4" t="n"/>
      <c r="E397" s="4" t="n"/>
      <c r="F397" s="4" t="n"/>
      <c r="G397" s="4" t="n"/>
    </row>
    <row r="398" ht="15.75" customHeight="1">
      <c r="C398" s="4" t="n"/>
      <c r="D398" s="4" t="n"/>
      <c r="E398" s="4" t="n"/>
      <c r="F398" s="4" t="n"/>
      <c r="G398" s="4" t="n"/>
    </row>
    <row r="399" ht="15.75" customHeight="1">
      <c r="C399" s="4" t="n"/>
      <c r="D399" s="4" t="n"/>
      <c r="E399" s="4" t="n"/>
      <c r="F399" s="4" t="n"/>
      <c r="G399" s="4" t="n"/>
    </row>
    <row r="400" ht="15.75" customHeight="1">
      <c r="C400" s="4" t="n"/>
      <c r="D400" s="4" t="n"/>
      <c r="E400" s="4" t="n"/>
      <c r="F400" s="4" t="n"/>
      <c r="G400" s="4" t="n"/>
    </row>
    <row r="401" ht="15.75" customHeight="1">
      <c r="C401" s="4" t="n"/>
      <c r="D401" s="4" t="n"/>
      <c r="E401" s="4" t="n"/>
      <c r="F401" s="4" t="n"/>
      <c r="G401" s="4" t="n"/>
    </row>
    <row r="402" ht="15.75" customHeight="1">
      <c r="C402" s="4" t="n"/>
      <c r="D402" s="4" t="n"/>
      <c r="E402" s="4" t="n"/>
      <c r="F402" s="4" t="n"/>
      <c r="G402" s="4" t="n"/>
    </row>
    <row r="403" ht="15.75" customHeight="1">
      <c r="C403" s="4" t="n"/>
      <c r="D403" s="4" t="n"/>
      <c r="E403" s="4" t="n"/>
      <c r="F403" s="4" t="n"/>
      <c r="G403" s="4" t="n"/>
    </row>
    <row r="404" ht="15.75" customHeight="1">
      <c r="C404" s="4" t="n"/>
      <c r="D404" s="4" t="n"/>
      <c r="E404" s="4" t="n"/>
      <c r="F404" s="4" t="n"/>
      <c r="G404" s="4" t="n"/>
    </row>
    <row r="405" ht="15.75" customHeight="1">
      <c r="C405" s="4" t="n"/>
      <c r="D405" s="4" t="n"/>
      <c r="E405" s="4" t="n"/>
      <c r="F405" s="4" t="n"/>
      <c r="G405" s="4" t="n"/>
    </row>
    <row r="406" ht="15.75" customHeight="1">
      <c r="C406" s="4" t="n"/>
      <c r="D406" s="4" t="n"/>
      <c r="E406" s="4" t="n"/>
      <c r="F406" s="4" t="n"/>
      <c r="G406" s="4" t="n"/>
    </row>
    <row r="407" ht="15.75" customHeight="1">
      <c r="C407" s="4" t="n"/>
      <c r="D407" s="4" t="n"/>
      <c r="E407" s="4" t="n"/>
      <c r="F407" s="4" t="n"/>
      <c r="G407" s="4" t="n"/>
    </row>
    <row r="408" ht="15.75" customHeight="1">
      <c r="C408" s="4" t="n"/>
      <c r="D408" s="4" t="n"/>
      <c r="E408" s="4" t="n"/>
      <c r="F408" s="4" t="n"/>
      <c r="G408" s="4" t="n"/>
    </row>
    <row r="409" ht="15.75" customHeight="1">
      <c r="C409" s="4" t="n"/>
      <c r="D409" s="4" t="n"/>
      <c r="E409" s="4" t="n"/>
      <c r="F409" s="4" t="n"/>
      <c r="G409" s="4" t="n"/>
    </row>
    <row r="410" ht="15.75" customHeight="1">
      <c r="C410" s="4" t="n"/>
      <c r="D410" s="4" t="n"/>
      <c r="E410" s="4" t="n"/>
      <c r="F410" s="4" t="n"/>
      <c r="G410" s="4" t="n"/>
    </row>
    <row r="411" ht="15.75" customHeight="1">
      <c r="C411" s="4" t="n"/>
      <c r="D411" s="4" t="n"/>
      <c r="E411" s="4" t="n"/>
      <c r="F411" s="4" t="n"/>
      <c r="G411" s="4" t="n"/>
    </row>
    <row r="412" ht="15.75" customHeight="1">
      <c r="C412" s="4" t="n"/>
      <c r="D412" s="4" t="n"/>
      <c r="E412" s="4" t="n"/>
      <c r="F412" s="4" t="n"/>
      <c r="G412" s="4" t="n"/>
    </row>
    <row r="413" ht="15.75" customHeight="1">
      <c r="C413" s="4" t="n"/>
      <c r="D413" s="4" t="n"/>
      <c r="E413" s="4" t="n"/>
      <c r="F413" s="4" t="n"/>
      <c r="G413" s="4" t="n"/>
    </row>
    <row r="414" ht="15.75" customHeight="1">
      <c r="C414" s="4" t="n"/>
      <c r="D414" s="4" t="n"/>
      <c r="E414" s="4" t="n"/>
      <c r="F414" s="4" t="n"/>
      <c r="G414" s="4" t="n"/>
    </row>
    <row r="415" ht="15.75" customHeight="1">
      <c r="C415" s="4" t="n"/>
      <c r="D415" s="4" t="n"/>
      <c r="E415" s="4" t="n"/>
      <c r="F415" s="4" t="n"/>
      <c r="G415" s="4" t="n"/>
    </row>
    <row r="416" ht="15.75" customHeight="1">
      <c r="C416" s="4" t="n"/>
      <c r="D416" s="4" t="n"/>
      <c r="E416" s="4" t="n"/>
      <c r="F416" s="4" t="n"/>
      <c r="G416" s="4" t="n"/>
    </row>
    <row r="417" ht="15.75" customHeight="1">
      <c r="C417" s="4" t="n"/>
      <c r="D417" s="4" t="n"/>
      <c r="E417" s="4" t="n"/>
      <c r="F417" s="4" t="n"/>
      <c r="G417" s="4" t="n"/>
    </row>
    <row r="418" ht="15.75" customHeight="1">
      <c r="C418" s="4" t="n"/>
      <c r="D418" s="4" t="n"/>
      <c r="E418" s="4" t="n"/>
      <c r="F418" s="4" t="n"/>
      <c r="G418" s="4" t="n"/>
    </row>
    <row r="419" ht="15.75" customHeight="1">
      <c r="C419" s="4" t="n"/>
      <c r="D419" s="4" t="n"/>
      <c r="E419" s="4" t="n"/>
      <c r="F419" s="4" t="n"/>
      <c r="G419" s="4" t="n"/>
    </row>
    <row r="420" ht="15.75" customHeight="1">
      <c r="C420" s="4" t="n"/>
      <c r="D420" s="4" t="n"/>
      <c r="E420" s="4" t="n"/>
      <c r="F420" s="4" t="n"/>
      <c r="G420" s="4" t="n"/>
    </row>
    <row r="421" ht="15.75" customHeight="1">
      <c r="C421" s="4" t="n"/>
      <c r="D421" s="4" t="n"/>
      <c r="E421" s="4" t="n"/>
      <c r="F421" s="4" t="n"/>
      <c r="G421" s="4" t="n"/>
    </row>
    <row r="422" ht="15.75" customHeight="1">
      <c r="C422" s="4" t="n"/>
      <c r="D422" s="4" t="n"/>
      <c r="E422" s="4" t="n"/>
      <c r="F422" s="4" t="n"/>
      <c r="G422" s="4" t="n"/>
    </row>
    <row r="423" ht="15.75" customHeight="1">
      <c r="C423" s="4" t="n"/>
      <c r="D423" s="4" t="n"/>
      <c r="E423" s="4" t="n"/>
      <c r="F423" s="4" t="n"/>
      <c r="G423" s="4" t="n"/>
    </row>
    <row r="424" ht="15.75" customHeight="1">
      <c r="C424" s="4" t="n"/>
      <c r="D424" s="4" t="n"/>
      <c r="E424" s="4" t="n"/>
      <c r="F424" s="4" t="n"/>
      <c r="G424" s="4" t="n"/>
    </row>
    <row r="425" ht="15.75" customHeight="1">
      <c r="C425" s="4" t="n"/>
      <c r="D425" s="4" t="n"/>
      <c r="E425" s="4" t="n"/>
      <c r="F425" s="4" t="n"/>
      <c r="G425" s="4" t="n"/>
    </row>
    <row r="426" ht="15.75" customHeight="1">
      <c r="C426" s="4" t="n"/>
      <c r="D426" s="4" t="n"/>
      <c r="E426" s="4" t="n"/>
      <c r="F426" s="4" t="n"/>
      <c r="G426" s="4" t="n"/>
    </row>
    <row r="427" ht="15.75" customHeight="1">
      <c r="C427" s="4" t="n"/>
      <c r="D427" s="4" t="n"/>
      <c r="E427" s="4" t="n"/>
      <c r="F427" s="4" t="n"/>
      <c r="G427" s="4" t="n"/>
    </row>
    <row r="428" ht="15.75" customHeight="1">
      <c r="C428" s="4" t="n"/>
      <c r="D428" s="4" t="n"/>
      <c r="E428" s="4" t="n"/>
      <c r="F428" s="4" t="n"/>
      <c r="G428" s="4" t="n"/>
    </row>
    <row r="429" ht="15.75" customHeight="1">
      <c r="C429" s="4" t="n"/>
      <c r="D429" s="4" t="n"/>
      <c r="E429" s="4" t="n"/>
      <c r="F429" s="4" t="n"/>
      <c r="G429" s="4" t="n"/>
    </row>
    <row r="430" ht="15.75" customHeight="1">
      <c r="C430" s="4" t="n"/>
      <c r="D430" s="4" t="n"/>
      <c r="E430" s="4" t="n"/>
      <c r="F430" s="4" t="n"/>
      <c r="G430" s="4" t="n"/>
    </row>
    <row r="431" ht="15.75" customHeight="1">
      <c r="C431" s="4" t="n"/>
      <c r="D431" s="4" t="n"/>
      <c r="E431" s="4" t="n"/>
      <c r="F431" s="4" t="n"/>
      <c r="G431" s="4" t="n"/>
    </row>
    <row r="432" ht="15.75" customHeight="1">
      <c r="C432" s="4" t="n"/>
      <c r="D432" s="4" t="n"/>
      <c r="E432" s="4" t="n"/>
      <c r="F432" s="4" t="n"/>
      <c r="G432" s="4" t="n"/>
    </row>
    <row r="433" ht="15.75" customHeight="1">
      <c r="C433" s="4" t="n"/>
      <c r="D433" s="4" t="n"/>
      <c r="E433" s="4" t="n"/>
      <c r="F433" s="4" t="n"/>
      <c r="G433" s="4" t="n"/>
    </row>
    <row r="434" ht="15.75" customHeight="1">
      <c r="C434" s="4" t="n"/>
      <c r="D434" s="4" t="n"/>
      <c r="E434" s="4" t="n"/>
      <c r="F434" s="4" t="n"/>
      <c r="G434" s="4" t="n"/>
    </row>
    <row r="435" ht="15.75" customHeight="1">
      <c r="C435" s="4" t="n"/>
      <c r="D435" s="4" t="n"/>
      <c r="E435" s="4" t="n"/>
      <c r="F435" s="4" t="n"/>
      <c r="G435" s="4" t="n"/>
    </row>
    <row r="436" ht="15.75" customHeight="1">
      <c r="C436" s="4" t="n"/>
      <c r="D436" s="4" t="n"/>
      <c r="E436" s="4" t="n"/>
      <c r="F436" s="4" t="n"/>
      <c r="G436" s="4" t="n"/>
    </row>
    <row r="437" ht="15.75" customHeight="1">
      <c r="C437" s="4" t="n"/>
      <c r="D437" s="4" t="n"/>
      <c r="E437" s="4" t="n"/>
      <c r="F437" s="4" t="n"/>
      <c r="G437" s="4" t="n"/>
    </row>
    <row r="438" ht="15.75" customHeight="1">
      <c r="C438" s="4" t="n"/>
      <c r="D438" s="4" t="n"/>
      <c r="E438" s="4" t="n"/>
      <c r="F438" s="4" t="n"/>
      <c r="G438" s="4" t="n"/>
    </row>
    <row r="439" ht="15.75" customHeight="1">
      <c r="C439" s="4" t="n"/>
      <c r="D439" s="4" t="n"/>
      <c r="E439" s="4" t="n"/>
      <c r="F439" s="4" t="n"/>
      <c r="G439" s="4" t="n"/>
    </row>
    <row r="440" ht="15.75" customHeight="1">
      <c r="C440" s="4" t="n"/>
      <c r="D440" s="4" t="n"/>
      <c r="E440" s="4" t="n"/>
      <c r="F440" s="4" t="n"/>
      <c r="G440" s="4" t="n"/>
    </row>
    <row r="441" ht="15.75" customHeight="1">
      <c r="C441" s="4" t="n"/>
      <c r="D441" s="4" t="n"/>
      <c r="E441" s="4" t="n"/>
      <c r="F441" s="4" t="n"/>
      <c r="G441" s="4" t="n"/>
    </row>
    <row r="442" ht="15.75" customHeight="1">
      <c r="C442" s="4" t="n"/>
      <c r="D442" s="4" t="n"/>
      <c r="E442" s="4" t="n"/>
      <c r="F442" s="4" t="n"/>
      <c r="G442" s="4" t="n"/>
    </row>
    <row r="443" ht="15.75" customHeight="1">
      <c r="C443" s="4" t="n"/>
      <c r="D443" s="4" t="n"/>
      <c r="E443" s="4" t="n"/>
      <c r="F443" s="4" t="n"/>
      <c r="G443" s="4" t="n"/>
    </row>
    <row r="444" ht="15.75" customHeight="1">
      <c r="C444" s="4" t="n"/>
      <c r="D444" s="4" t="n"/>
      <c r="E444" s="4" t="n"/>
      <c r="F444" s="4" t="n"/>
      <c r="G444" s="4" t="n"/>
    </row>
    <row r="445" ht="15.75" customHeight="1">
      <c r="C445" s="4" t="n"/>
      <c r="D445" s="4" t="n"/>
      <c r="E445" s="4" t="n"/>
      <c r="F445" s="4" t="n"/>
      <c r="G445" s="4" t="n"/>
    </row>
    <row r="446" ht="15.75" customHeight="1">
      <c r="C446" s="4" t="n"/>
      <c r="D446" s="4" t="n"/>
      <c r="E446" s="4" t="n"/>
      <c r="F446" s="4" t="n"/>
      <c r="G446" s="4" t="n"/>
    </row>
    <row r="447" ht="15.75" customHeight="1">
      <c r="C447" s="4" t="n"/>
      <c r="D447" s="4" t="n"/>
      <c r="E447" s="4" t="n"/>
      <c r="F447" s="4" t="n"/>
      <c r="G447" s="4" t="n"/>
    </row>
    <row r="448" ht="15.75" customHeight="1">
      <c r="C448" s="4" t="n"/>
      <c r="D448" s="4" t="n"/>
      <c r="E448" s="4" t="n"/>
      <c r="F448" s="4" t="n"/>
      <c r="G448" s="4" t="n"/>
    </row>
    <row r="449" ht="15.75" customHeight="1">
      <c r="C449" s="4" t="n"/>
      <c r="D449" s="4" t="n"/>
      <c r="E449" s="4" t="n"/>
      <c r="F449" s="4" t="n"/>
      <c r="G449" s="4" t="n"/>
    </row>
    <row r="450" ht="15.75" customHeight="1">
      <c r="C450" s="4" t="n"/>
      <c r="D450" s="4" t="n"/>
      <c r="E450" s="4" t="n"/>
      <c r="F450" s="4" t="n"/>
      <c r="G450" s="4" t="n"/>
    </row>
    <row r="451" ht="15.75" customHeight="1">
      <c r="C451" s="4" t="n"/>
      <c r="D451" s="4" t="n"/>
      <c r="E451" s="4" t="n"/>
      <c r="F451" s="4" t="n"/>
      <c r="G451" s="4" t="n"/>
    </row>
    <row r="452" ht="15.75" customHeight="1">
      <c r="C452" s="4" t="n"/>
      <c r="D452" s="4" t="n"/>
      <c r="E452" s="4" t="n"/>
      <c r="F452" s="4" t="n"/>
      <c r="G452" s="4" t="n"/>
    </row>
    <row r="453" ht="15.75" customHeight="1">
      <c r="C453" s="4" t="n"/>
      <c r="D453" s="4" t="n"/>
      <c r="E453" s="4" t="n"/>
      <c r="F453" s="4" t="n"/>
      <c r="G453" s="4" t="n"/>
    </row>
    <row r="454" ht="15.75" customHeight="1">
      <c r="C454" s="4" t="n"/>
      <c r="D454" s="4" t="n"/>
      <c r="E454" s="4" t="n"/>
      <c r="F454" s="4" t="n"/>
      <c r="G454" s="4" t="n"/>
    </row>
    <row r="455" ht="15.75" customHeight="1">
      <c r="C455" s="4" t="n"/>
      <c r="D455" s="4" t="n"/>
      <c r="E455" s="4" t="n"/>
      <c r="F455" s="4" t="n"/>
      <c r="G455" s="4" t="n"/>
    </row>
    <row r="456" ht="15.75" customHeight="1">
      <c r="C456" s="4" t="n"/>
      <c r="D456" s="4" t="n"/>
      <c r="E456" s="4" t="n"/>
      <c r="F456" s="4" t="n"/>
      <c r="G456" s="4" t="n"/>
    </row>
    <row r="457" ht="15.75" customHeight="1">
      <c r="C457" s="4" t="n"/>
      <c r="D457" s="4" t="n"/>
      <c r="E457" s="4" t="n"/>
      <c r="F457" s="4" t="n"/>
      <c r="G457" s="4" t="n"/>
    </row>
    <row r="458" ht="15.75" customHeight="1">
      <c r="C458" s="4" t="n"/>
      <c r="D458" s="4" t="n"/>
      <c r="E458" s="4" t="n"/>
      <c r="F458" s="4" t="n"/>
      <c r="G458" s="4" t="n"/>
    </row>
    <row r="459" ht="15.75" customHeight="1">
      <c r="C459" s="4" t="n"/>
      <c r="D459" s="4" t="n"/>
      <c r="E459" s="4" t="n"/>
      <c r="F459" s="4" t="n"/>
      <c r="G459" s="4" t="n"/>
    </row>
    <row r="460" ht="15.75" customHeight="1">
      <c r="C460" s="4" t="n"/>
      <c r="D460" s="4" t="n"/>
      <c r="E460" s="4" t="n"/>
      <c r="F460" s="4" t="n"/>
      <c r="G460" s="4" t="n"/>
    </row>
    <row r="461" ht="15.75" customHeight="1">
      <c r="C461" s="4" t="n"/>
      <c r="D461" s="4" t="n"/>
      <c r="E461" s="4" t="n"/>
      <c r="F461" s="4" t="n"/>
      <c r="G461" s="4" t="n"/>
    </row>
    <row r="462" ht="15.75" customHeight="1">
      <c r="C462" s="4" t="n"/>
      <c r="D462" s="4" t="n"/>
      <c r="E462" s="4" t="n"/>
      <c r="F462" s="4" t="n"/>
      <c r="G462" s="4" t="n"/>
    </row>
    <row r="463" ht="15.75" customHeight="1">
      <c r="C463" s="4" t="n"/>
      <c r="D463" s="4" t="n"/>
      <c r="E463" s="4" t="n"/>
      <c r="F463" s="4" t="n"/>
      <c r="G463" s="4" t="n"/>
    </row>
    <row r="464" ht="15.75" customHeight="1">
      <c r="C464" s="4" t="n"/>
      <c r="D464" s="4" t="n"/>
      <c r="E464" s="4" t="n"/>
      <c r="F464" s="4" t="n"/>
      <c r="G464" s="4" t="n"/>
    </row>
    <row r="465" ht="15.75" customHeight="1">
      <c r="C465" s="4" t="n"/>
      <c r="D465" s="4" t="n"/>
      <c r="E465" s="4" t="n"/>
      <c r="F465" s="4" t="n"/>
      <c r="G465" s="4" t="n"/>
    </row>
    <row r="466" ht="15.75" customHeight="1">
      <c r="C466" s="4" t="n"/>
      <c r="D466" s="4" t="n"/>
      <c r="E466" s="4" t="n"/>
      <c r="F466" s="4" t="n"/>
      <c r="G466" s="4" t="n"/>
    </row>
    <row r="467" ht="15.75" customHeight="1">
      <c r="C467" s="4" t="n"/>
      <c r="D467" s="4" t="n"/>
      <c r="E467" s="4" t="n"/>
      <c r="F467" s="4" t="n"/>
      <c r="G467" s="4" t="n"/>
    </row>
    <row r="468" ht="15.75" customHeight="1">
      <c r="C468" s="4" t="n"/>
      <c r="D468" s="4" t="n"/>
      <c r="E468" s="4" t="n"/>
      <c r="F468" s="4" t="n"/>
      <c r="G468" s="4" t="n"/>
    </row>
    <row r="469" ht="15.75" customHeight="1">
      <c r="C469" s="4" t="n"/>
      <c r="D469" s="4" t="n"/>
      <c r="E469" s="4" t="n"/>
      <c r="F469" s="4" t="n"/>
      <c r="G469" s="4" t="n"/>
    </row>
    <row r="470" ht="15.75" customHeight="1">
      <c r="C470" s="4" t="n"/>
      <c r="D470" s="4" t="n"/>
      <c r="E470" s="4" t="n"/>
      <c r="F470" s="4" t="n"/>
      <c r="G470" s="4" t="n"/>
    </row>
    <row r="471" ht="15.75" customHeight="1">
      <c r="C471" s="4" t="n"/>
      <c r="D471" s="4" t="n"/>
      <c r="E471" s="4" t="n"/>
      <c r="F471" s="4" t="n"/>
      <c r="G471" s="4" t="n"/>
    </row>
    <row r="472" ht="15.75" customHeight="1">
      <c r="C472" s="4" t="n"/>
      <c r="D472" s="4" t="n"/>
      <c r="E472" s="4" t="n"/>
      <c r="F472" s="4" t="n"/>
      <c r="G472" s="4" t="n"/>
    </row>
    <row r="473" ht="15.75" customHeight="1">
      <c r="C473" s="4" t="n"/>
      <c r="D473" s="4" t="n"/>
      <c r="E473" s="4" t="n"/>
      <c r="F473" s="4" t="n"/>
      <c r="G473" s="4" t="n"/>
    </row>
    <row r="474" ht="15.75" customHeight="1">
      <c r="C474" s="4" t="n"/>
      <c r="D474" s="4" t="n"/>
      <c r="E474" s="4" t="n"/>
      <c r="F474" s="4" t="n"/>
      <c r="G474" s="4" t="n"/>
    </row>
    <row r="475" ht="15.75" customHeight="1">
      <c r="C475" s="4" t="n"/>
      <c r="D475" s="4" t="n"/>
      <c r="E475" s="4" t="n"/>
      <c r="F475" s="4" t="n"/>
      <c r="G475" s="4" t="n"/>
    </row>
    <row r="476" ht="15.75" customHeight="1">
      <c r="C476" s="4" t="n"/>
      <c r="D476" s="4" t="n"/>
      <c r="E476" s="4" t="n"/>
      <c r="F476" s="4" t="n"/>
      <c r="G476" s="4" t="n"/>
    </row>
    <row r="477" ht="15.75" customHeight="1">
      <c r="C477" s="4" t="n"/>
      <c r="D477" s="4" t="n"/>
      <c r="E477" s="4" t="n"/>
      <c r="F477" s="4" t="n"/>
      <c r="G477" s="4" t="n"/>
    </row>
    <row r="478" ht="15.75" customHeight="1">
      <c r="C478" s="4" t="n"/>
      <c r="D478" s="4" t="n"/>
      <c r="E478" s="4" t="n"/>
      <c r="F478" s="4" t="n"/>
      <c r="G478" s="4" t="n"/>
    </row>
    <row r="479" ht="15.75" customHeight="1">
      <c r="C479" s="4" t="n"/>
      <c r="D479" s="4" t="n"/>
      <c r="E479" s="4" t="n"/>
      <c r="F479" s="4" t="n"/>
      <c r="G479" s="4" t="n"/>
    </row>
    <row r="480" ht="15.75" customHeight="1">
      <c r="C480" s="4" t="n"/>
      <c r="D480" s="4" t="n"/>
      <c r="E480" s="4" t="n"/>
      <c r="F480" s="4" t="n"/>
      <c r="G480" s="4" t="n"/>
    </row>
    <row r="481" ht="15.75" customHeight="1">
      <c r="C481" s="4" t="n"/>
      <c r="D481" s="4" t="n"/>
      <c r="E481" s="4" t="n"/>
      <c r="F481" s="4" t="n"/>
      <c r="G481" s="4" t="n"/>
    </row>
    <row r="482" ht="15.75" customHeight="1">
      <c r="C482" s="4" t="n"/>
      <c r="D482" s="4" t="n"/>
      <c r="E482" s="4" t="n"/>
      <c r="F482" s="4" t="n"/>
      <c r="G482" s="4" t="n"/>
    </row>
    <row r="483" ht="15.75" customHeight="1">
      <c r="C483" s="4" t="n"/>
      <c r="D483" s="4" t="n"/>
      <c r="E483" s="4" t="n"/>
      <c r="F483" s="4" t="n"/>
      <c r="G483" s="4" t="n"/>
    </row>
    <row r="484" ht="15.75" customHeight="1">
      <c r="C484" s="4" t="n"/>
      <c r="D484" s="4" t="n"/>
      <c r="E484" s="4" t="n"/>
      <c r="F484" s="4" t="n"/>
      <c r="G484" s="4" t="n"/>
    </row>
    <row r="485" ht="15.75" customHeight="1">
      <c r="C485" s="4" t="n"/>
      <c r="D485" s="4" t="n"/>
      <c r="E485" s="4" t="n"/>
      <c r="F485" s="4" t="n"/>
      <c r="G485" s="4" t="n"/>
    </row>
    <row r="486" ht="15.75" customHeight="1">
      <c r="C486" s="4" t="n"/>
      <c r="D486" s="4" t="n"/>
      <c r="E486" s="4" t="n"/>
      <c r="F486" s="4" t="n"/>
      <c r="G486" s="4" t="n"/>
    </row>
    <row r="487" ht="15.75" customHeight="1">
      <c r="C487" s="4" t="n"/>
      <c r="D487" s="4" t="n"/>
      <c r="E487" s="4" t="n"/>
      <c r="F487" s="4" t="n"/>
      <c r="G487" s="4" t="n"/>
    </row>
    <row r="488" ht="15.75" customHeight="1">
      <c r="C488" s="4" t="n"/>
      <c r="D488" s="4" t="n"/>
      <c r="E488" s="4" t="n"/>
      <c r="F488" s="4" t="n"/>
      <c r="G488" s="4" t="n"/>
    </row>
    <row r="489" ht="15.75" customHeight="1">
      <c r="C489" s="4" t="n"/>
      <c r="D489" s="4" t="n"/>
      <c r="E489" s="4" t="n"/>
      <c r="F489" s="4" t="n"/>
      <c r="G489" s="4" t="n"/>
    </row>
    <row r="490" ht="15.75" customHeight="1">
      <c r="C490" s="4" t="n"/>
      <c r="D490" s="4" t="n"/>
      <c r="E490" s="4" t="n"/>
      <c r="F490" s="4" t="n"/>
      <c r="G490" s="4" t="n"/>
    </row>
    <row r="491" ht="15.75" customHeight="1">
      <c r="C491" s="4" t="n"/>
      <c r="D491" s="4" t="n"/>
      <c r="E491" s="4" t="n"/>
      <c r="F491" s="4" t="n"/>
      <c r="G491" s="4" t="n"/>
    </row>
    <row r="492" ht="15.75" customHeight="1">
      <c r="C492" s="4" t="n"/>
      <c r="D492" s="4" t="n"/>
      <c r="E492" s="4" t="n"/>
      <c r="F492" s="4" t="n"/>
      <c r="G492" s="4" t="n"/>
    </row>
    <row r="493" ht="15.75" customHeight="1">
      <c r="C493" s="4" t="n"/>
      <c r="D493" s="4" t="n"/>
      <c r="E493" s="4" t="n"/>
      <c r="F493" s="4" t="n"/>
      <c r="G493" s="4" t="n"/>
    </row>
    <row r="494" ht="15.75" customHeight="1">
      <c r="C494" s="4" t="n"/>
      <c r="D494" s="4" t="n"/>
      <c r="E494" s="4" t="n"/>
      <c r="F494" s="4" t="n"/>
      <c r="G494" s="4" t="n"/>
    </row>
    <row r="495" ht="15.75" customHeight="1">
      <c r="C495" s="4" t="n"/>
      <c r="D495" s="4" t="n"/>
      <c r="E495" s="4" t="n"/>
      <c r="F495" s="4" t="n"/>
      <c r="G495" s="4" t="n"/>
    </row>
    <row r="496" ht="15.75" customHeight="1">
      <c r="C496" s="4" t="n"/>
      <c r="D496" s="4" t="n"/>
      <c r="E496" s="4" t="n"/>
      <c r="F496" s="4" t="n"/>
      <c r="G496" s="4" t="n"/>
    </row>
    <row r="497" ht="15.75" customHeight="1">
      <c r="C497" s="4" t="n"/>
      <c r="D497" s="4" t="n"/>
      <c r="E497" s="4" t="n"/>
      <c r="F497" s="4" t="n"/>
      <c r="G497" s="4" t="n"/>
    </row>
    <row r="498" ht="15.75" customHeight="1">
      <c r="C498" s="4" t="n"/>
      <c r="D498" s="4" t="n"/>
      <c r="E498" s="4" t="n"/>
      <c r="F498" s="4" t="n"/>
      <c r="G498" s="4" t="n"/>
    </row>
    <row r="499" ht="15.75" customHeight="1">
      <c r="C499" s="4" t="n"/>
      <c r="D499" s="4" t="n"/>
      <c r="E499" s="4" t="n"/>
      <c r="F499" s="4" t="n"/>
      <c r="G499" s="4" t="n"/>
    </row>
    <row r="500" ht="15.75" customHeight="1">
      <c r="C500" s="4" t="n"/>
      <c r="D500" s="4" t="n"/>
      <c r="E500" s="4" t="n"/>
      <c r="F500" s="4" t="n"/>
      <c r="G500" s="4" t="n"/>
    </row>
    <row r="501" ht="15.75" customHeight="1">
      <c r="C501" s="4" t="n"/>
      <c r="D501" s="4" t="n"/>
      <c r="E501" s="4" t="n"/>
      <c r="F501" s="4" t="n"/>
      <c r="G501" s="4" t="n"/>
    </row>
    <row r="502" ht="15.75" customHeight="1">
      <c r="C502" s="4" t="n"/>
      <c r="D502" s="4" t="n"/>
      <c r="E502" s="4" t="n"/>
      <c r="F502" s="4" t="n"/>
      <c r="G502" s="4" t="n"/>
    </row>
    <row r="503" ht="15.75" customHeight="1">
      <c r="C503" s="4" t="n"/>
      <c r="D503" s="4" t="n"/>
      <c r="E503" s="4" t="n"/>
      <c r="F503" s="4" t="n"/>
      <c r="G503" s="4" t="n"/>
    </row>
    <row r="504" ht="15.75" customHeight="1">
      <c r="C504" s="4" t="n"/>
      <c r="D504" s="4" t="n"/>
      <c r="E504" s="4" t="n"/>
      <c r="F504" s="4" t="n"/>
      <c r="G504" s="4" t="n"/>
    </row>
    <row r="505" ht="15.75" customHeight="1">
      <c r="C505" s="4" t="n"/>
      <c r="D505" s="4" t="n"/>
      <c r="E505" s="4" t="n"/>
      <c r="F505" s="4" t="n"/>
      <c r="G505" s="4" t="n"/>
    </row>
    <row r="506" ht="15.75" customHeight="1">
      <c r="C506" s="4" t="n"/>
      <c r="D506" s="4" t="n"/>
      <c r="E506" s="4" t="n"/>
      <c r="F506" s="4" t="n"/>
      <c r="G506" s="4" t="n"/>
    </row>
    <row r="507" ht="15.75" customHeight="1">
      <c r="C507" s="4" t="n"/>
      <c r="D507" s="4" t="n"/>
      <c r="E507" s="4" t="n"/>
      <c r="F507" s="4" t="n"/>
      <c r="G507" s="4" t="n"/>
    </row>
    <row r="508" ht="15.75" customHeight="1">
      <c r="C508" s="4" t="n"/>
      <c r="D508" s="4" t="n"/>
      <c r="E508" s="4" t="n"/>
      <c r="F508" s="4" t="n"/>
      <c r="G508" s="4" t="n"/>
    </row>
    <row r="509" ht="15.75" customHeight="1">
      <c r="C509" s="4" t="n"/>
      <c r="D509" s="4" t="n"/>
      <c r="E509" s="4" t="n"/>
      <c r="F509" s="4" t="n"/>
      <c r="G509" s="4" t="n"/>
    </row>
    <row r="510" ht="15.75" customHeight="1">
      <c r="C510" s="4" t="n"/>
      <c r="D510" s="4" t="n"/>
      <c r="E510" s="4" t="n"/>
      <c r="F510" s="4" t="n"/>
      <c r="G510" s="4" t="n"/>
    </row>
    <row r="511" ht="15.75" customHeight="1">
      <c r="C511" s="4" t="n"/>
      <c r="D511" s="4" t="n"/>
      <c r="E511" s="4" t="n"/>
      <c r="F511" s="4" t="n"/>
      <c r="G511" s="4" t="n"/>
    </row>
    <row r="512" ht="15.75" customHeight="1">
      <c r="C512" s="4" t="n"/>
      <c r="D512" s="4" t="n"/>
      <c r="E512" s="4" t="n"/>
      <c r="F512" s="4" t="n"/>
      <c r="G512" s="4" t="n"/>
    </row>
    <row r="513" ht="15.75" customHeight="1">
      <c r="C513" s="4" t="n"/>
      <c r="D513" s="4" t="n"/>
      <c r="E513" s="4" t="n"/>
      <c r="F513" s="4" t="n"/>
      <c r="G513" s="4" t="n"/>
    </row>
    <row r="514" ht="15.75" customHeight="1">
      <c r="C514" s="4" t="n"/>
      <c r="D514" s="4" t="n"/>
      <c r="E514" s="4" t="n"/>
      <c r="F514" s="4" t="n"/>
      <c r="G514" s="4" t="n"/>
    </row>
    <row r="515" ht="15.75" customHeight="1">
      <c r="C515" s="4" t="n"/>
      <c r="D515" s="4" t="n"/>
      <c r="E515" s="4" t="n"/>
      <c r="F515" s="4" t="n"/>
      <c r="G515" s="4" t="n"/>
    </row>
    <row r="516" ht="15.75" customHeight="1">
      <c r="C516" s="4" t="n"/>
      <c r="D516" s="4" t="n"/>
      <c r="E516" s="4" t="n"/>
      <c r="F516" s="4" t="n"/>
      <c r="G516" s="4" t="n"/>
    </row>
    <row r="517" ht="15.75" customHeight="1">
      <c r="C517" s="4" t="n"/>
      <c r="D517" s="4" t="n"/>
      <c r="E517" s="4" t="n"/>
      <c r="F517" s="4" t="n"/>
      <c r="G517" s="4" t="n"/>
    </row>
    <row r="518" ht="15.75" customHeight="1">
      <c r="C518" s="4" t="n"/>
      <c r="D518" s="4" t="n"/>
      <c r="E518" s="4" t="n"/>
      <c r="F518" s="4" t="n"/>
      <c r="G518" s="4" t="n"/>
    </row>
    <row r="519" ht="15.75" customHeight="1">
      <c r="C519" s="4" t="n"/>
      <c r="D519" s="4" t="n"/>
      <c r="E519" s="4" t="n"/>
      <c r="F519" s="4" t="n"/>
      <c r="G519" s="4" t="n"/>
    </row>
    <row r="520" ht="15.75" customHeight="1">
      <c r="C520" s="4" t="n"/>
      <c r="D520" s="4" t="n"/>
      <c r="E520" s="4" t="n"/>
      <c r="F520" s="4" t="n"/>
      <c r="G520" s="4" t="n"/>
    </row>
    <row r="521" ht="15.75" customHeight="1">
      <c r="C521" s="4" t="n"/>
      <c r="D521" s="4" t="n"/>
      <c r="E521" s="4" t="n"/>
      <c r="F521" s="4" t="n"/>
      <c r="G521" s="4" t="n"/>
    </row>
    <row r="522" ht="15.75" customHeight="1">
      <c r="C522" s="4" t="n"/>
      <c r="D522" s="4" t="n"/>
      <c r="E522" s="4" t="n"/>
      <c r="F522" s="4" t="n"/>
      <c r="G522" s="4" t="n"/>
    </row>
    <row r="523" ht="15.75" customHeight="1">
      <c r="C523" s="4" t="n"/>
      <c r="D523" s="4" t="n"/>
      <c r="E523" s="4" t="n"/>
      <c r="F523" s="4" t="n"/>
      <c r="G523" s="4" t="n"/>
    </row>
    <row r="524" ht="15.75" customHeight="1">
      <c r="C524" s="4" t="n"/>
      <c r="D524" s="4" t="n"/>
      <c r="E524" s="4" t="n"/>
      <c r="F524" s="4" t="n"/>
      <c r="G524" s="4" t="n"/>
    </row>
    <row r="525" ht="15.75" customHeight="1">
      <c r="C525" s="4" t="n"/>
      <c r="D525" s="4" t="n"/>
      <c r="E525" s="4" t="n"/>
      <c r="F525" s="4" t="n"/>
      <c r="G525" s="4" t="n"/>
    </row>
    <row r="526" ht="15.75" customHeight="1">
      <c r="C526" s="4" t="n"/>
      <c r="D526" s="4" t="n"/>
      <c r="E526" s="4" t="n"/>
      <c r="F526" s="4" t="n"/>
      <c r="G526" s="4" t="n"/>
    </row>
    <row r="527" ht="15.75" customHeight="1">
      <c r="C527" s="4" t="n"/>
      <c r="D527" s="4" t="n"/>
      <c r="E527" s="4" t="n"/>
      <c r="F527" s="4" t="n"/>
      <c r="G527" s="4" t="n"/>
    </row>
    <row r="528" ht="15.75" customHeight="1">
      <c r="C528" s="4" t="n"/>
      <c r="D528" s="4" t="n"/>
      <c r="E528" s="4" t="n"/>
      <c r="F528" s="4" t="n"/>
      <c r="G528" s="4" t="n"/>
    </row>
    <row r="529" ht="15.75" customHeight="1">
      <c r="C529" s="4" t="n"/>
      <c r="D529" s="4" t="n"/>
      <c r="E529" s="4" t="n"/>
      <c r="F529" s="4" t="n"/>
      <c r="G529" s="4" t="n"/>
    </row>
    <row r="530" ht="15.75" customHeight="1">
      <c r="C530" s="4" t="n"/>
      <c r="D530" s="4" t="n"/>
      <c r="E530" s="4" t="n"/>
      <c r="F530" s="4" t="n"/>
      <c r="G530" s="4" t="n"/>
    </row>
    <row r="531" ht="15.75" customHeight="1">
      <c r="C531" s="4" t="n"/>
      <c r="D531" s="4" t="n"/>
      <c r="E531" s="4" t="n"/>
      <c r="F531" s="4" t="n"/>
      <c r="G531" s="4" t="n"/>
    </row>
    <row r="532" ht="15.75" customHeight="1">
      <c r="C532" s="4" t="n"/>
      <c r="D532" s="4" t="n"/>
      <c r="E532" s="4" t="n"/>
      <c r="F532" s="4" t="n"/>
      <c r="G532" s="4" t="n"/>
    </row>
    <row r="533" ht="15.75" customHeight="1">
      <c r="C533" s="4" t="n"/>
      <c r="D533" s="4" t="n"/>
      <c r="E533" s="4" t="n"/>
      <c r="F533" s="4" t="n"/>
      <c r="G533" s="4" t="n"/>
    </row>
    <row r="534" ht="15.75" customHeight="1">
      <c r="C534" s="4" t="n"/>
      <c r="D534" s="4" t="n"/>
      <c r="E534" s="4" t="n"/>
      <c r="F534" s="4" t="n"/>
      <c r="G534" s="4" t="n"/>
    </row>
    <row r="535" ht="15.75" customHeight="1">
      <c r="C535" s="4" t="n"/>
      <c r="D535" s="4" t="n"/>
      <c r="E535" s="4" t="n"/>
      <c r="F535" s="4" t="n"/>
      <c r="G535" s="4" t="n"/>
    </row>
    <row r="536" ht="15.75" customHeight="1">
      <c r="C536" s="4" t="n"/>
      <c r="D536" s="4" t="n"/>
      <c r="E536" s="4" t="n"/>
      <c r="F536" s="4" t="n"/>
      <c r="G536" s="4" t="n"/>
    </row>
    <row r="537" ht="15.75" customHeight="1">
      <c r="C537" s="4" t="n"/>
      <c r="D537" s="4" t="n"/>
      <c r="E537" s="4" t="n"/>
      <c r="F537" s="4" t="n"/>
      <c r="G537" s="4" t="n"/>
    </row>
    <row r="538" ht="15.75" customHeight="1">
      <c r="C538" s="4" t="n"/>
      <c r="D538" s="4" t="n"/>
      <c r="E538" s="4" t="n"/>
      <c r="F538" s="4" t="n"/>
      <c r="G538" s="4" t="n"/>
    </row>
    <row r="539" ht="15.75" customHeight="1">
      <c r="C539" s="4" t="n"/>
      <c r="D539" s="4" t="n"/>
      <c r="E539" s="4" t="n"/>
      <c r="F539" s="4" t="n"/>
      <c r="G539" s="4" t="n"/>
    </row>
    <row r="540" ht="15.75" customHeight="1">
      <c r="C540" s="4" t="n"/>
      <c r="D540" s="4" t="n"/>
      <c r="E540" s="4" t="n"/>
      <c r="F540" s="4" t="n"/>
      <c r="G540" s="4" t="n"/>
    </row>
    <row r="541" ht="15.75" customHeight="1">
      <c r="C541" s="4" t="n"/>
      <c r="D541" s="4" t="n"/>
      <c r="E541" s="4" t="n"/>
      <c r="F541" s="4" t="n"/>
      <c r="G541" s="4" t="n"/>
    </row>
    <row r="542" ht="15.75" customHeight="1">
      <c r="C542" s="4" t="n"/>
      <c r="D542" s="4" t="n"/>
      <c r="E542" s="4" t="n"/>
      <c r="F542" s="4" t="n"/>
      <c r="G542" s="4" t="n"/>
    </row>
    <row r="543" ht="15.75" customHeight="1">
      <c r="C543" s="4" t="n"/>
      <c r="D543" s="4" t="n"/>
      <c r="E543" s="4" t="n"/>
      <c r="F543" s="4" t="n"/>
      <c r="G543" s="4" t="n"/>
    </row>
    <row r="544" ht="15.75" customHeight="1">
      <c r="C544" s="4" t="n"/>
      <c r="D544" s="4" t="n"/>
      <c r="E544" s="4" t="n"/>
      <c r="F544" s="4" t="n"/>
      <c r="G544" s="4" t="n"/>
    </row>
    <row r="545" ht="15.75" customHeight="1">
      <c r="C545" s="4" t="n"/>
      <c r="D545" s="4" t="n"/>
      <c r="E545" s="4" t="n"/>
      <c r="F545" s="4" t="n"/>
      <c r="G545" s="4" t="n"/>
    </row>
    <row r="546" ht="15.75" customHeight="1">
      <c r="C546" s="4" t="n"/>
      <c r="D546" s="4" t="n"/>
      <c r="E546" s="4" t="n"/>
      <c r="F546" s="4" t="n"/>
      <c r="G546" s="4" t="n"/>
    </row>
    <row r="547" ht="15.75" customHeight="1">
      <c r="C547" s="4" t="n"/>
      <c r="D547" s="4" t="n"/>
      <c r="E547" s="4" t="n"/>
      <c r="F547" s="4" t="n"/>
      <c r="G547" s="4" t="n"/>
    </row>
    <row r="548" ht="15.75" customHeight="1">
      <c r="C548" s="4" t="n"/>
      <c r="D548" s="4" t="n"/>
      <c r="E548" s="4" t="n"/>
      <c r="F548" s="4" t="n"/>
      <c r="G548" s="4" t="n"/>
    </row>
    <row r="549" ht="15.75" customHeight="1">
      <c r="C549" s="4" t="n"/>
      <c r="D549" s="4" t="n"/>
      <c r="E549" s="4" t="n"/>
      <c r="F549" s="4" t="n"/>
      <c r="G549" s="4" t="n"/>
    </row>
    <row r="550" ht="15.75" customHeight="1">
      <c r="C550" s="4" t="n"/>
      <c r="D550" s="4" t="n"/>
      <c r="E550" s="4" t="n"/>
      <c r="F550" s="4" t="n"/>
      <c r="G550" s="4" t="n"/>
    </row>
    <row r="551" ht="15.75" customHeight="1">
      <c r="C551" s="4" t="n"/>
      <c r="D551" s="4" t="n"/>
      <c r="E551" s="4" t="n"/>
      <c r="F551" s="4" t="n"/>
      <c r="G551" s="4" t="n"/>
    </row>
    <row r="552" ht="15.75" customHeight="1">
      <c r="C552" s="4" t="n"/>
      <c r="D552" s="4" t="n"/>
      <c r="E552" s="4" t="n"/>
      <c r="F552" s="4" t="n"/>
      <c r="G552" s="4" t="n"/>
    </row>
    <row r="553" ht="15.75" customHeight="1">
      <c r="C553" s="4" t="n"/>
      <c r="D553" s="4" t="n"/>
      <c r="E553" s="4" t="n"/>
      <c r="F553" s="4" t="n"/>
      <c r="G553" s="4" t="n"/>
    </row>
    <row r="554" ht="15.75" customHeight="1">
      <c r="C554" s="4" t="n"/>
      <c r="D554" s="4" t="n"/>
      <c r="E554" s="4" t="n"/>
      <c r="F554" s="4" t="n"/>
      <c r="G554" s="4" t="n"/>
    </row>
    <row r="555" ht="15.75" customHeight="1">
      <c r="C555" s="4" t="n"/>
      <c r="D555" s="4" t="n"/>
      <c r="E555" s="4" t="n"/>
      <c r="F555" s="4" t="n"/>
      <c r="G555" s="4" t="n"/>
    </row>
    <row r="556" ht="15.75" customHeight="1">
      <c r="C556" s="4" t="n"/>
      <c r="D556" s="4" t="n"/>
      <c r="E556" s="4" t="n"/>
      <c r="F556" s="4" t="n"/>
      <c r="G556" s="4" t="n"/>
    </row>
    <row r="557" ht="15.75" customHeight="1">
      <c r="C557" s="4" t="n"/>
      <c r="D557" s="4" t="n"/>
      <c r="E557" s="4" t="n"/>
      <c r="F557" s="4" t="n"/>
      <c r="G557" s="4" t="n"/>
    </row>
    <row r="558" ht="15.75" customHeight="1">
      <c r="C558" s="4" t="n"/>
      <c r="D558" s="4" t="n"/>
      <c r="E558" s="4" t="n"/>
      <c r="F558" s="4" t="n"/>
      <c r="G558" s="4" t="n"/>
    </row>
    <row r="559" ht="15.75" customHeight="1">
      <c r="C559" s="4" t="n"/>
      <c r="D559" s="4" t="n"/>
      <c r="E559" s="4" t="n"/>
      <c r="F559" s="4" t="n"/>
      <c r="G559" s="4" t="n"/>
    </row>
    <row r="560" ht="15.75" customHeight="1">
      <c r="C560" s="4" t="n"/>
      <c r="D560" s="4" t="n"/>
      <c r="E560" s="4" t="n"/>
      <c r="F560" s="4" t="n"/>
      <c r="G560" s="4" t="n"/>
    </row>
    <row r="561" ht="15.75" customHeight="1">
      <c r="C561" s="4" t="n"/>
      <c r="D561" s="4" t="n"/>
      <c r="E561" s="4" t="n"/>
      <c r="F561" s="4" t="n"/>
      <c r="G561" s="4" t="n"/>
    </row>
    <row r="562" ht="15.75" customHeight="1">
      <c r="C562" s="4" t="n"/>
      <c r="D562" s="4" t="n"/>
      <c r="E562" s="4" t="n"/>
      <c r="F562" s="4" t="n"/>
      <c r="G562" s="4" t="n"/>
    </row>
    <row r="563" ht="15.75" customHeight="1">
      <c r="C563" s="4" t="n"/>
      <c r="D563" s="4" t="n"/>
      <c r="E563" s="4" t="n"/>
      <c r="F563" s="4" t="n"/>
      <c r="G563" s="4" t="n"/>
    </row>
    <row r="564" ht="15.75" customHeight="1">
      <c r="C564" s="4" t="n"/>
      <c r="D564" s="4" t="n"/>
      <c r="E564" s="4" t="n"/>
      <c r="F564" s="4" t="n"/>
      <c r="G564" s="4" t="n"/>
    </row>
    <row r="565" ht="15.75" customHeight="1">
      <c r="C565" s="4" t="n"/>
      <c r="D565" s="4" t="n"/>
      <c r="E565" s="4" t="n"/>
      <c r="F565" s="4" t="n"/>
      <c r="G565" s="4" t="n"/>
    </row>
    <row r="566" ht="15.75" customHeight="1">
      <c r="C566" s="4" t="n"/>
      <c r="D566" s="4" t="n"/>
      <c r="E566" s="4" t="n"/>
      <c r="F566" s="4" t="n"/>
      <c r="G566" s="4" t="n"/>
    </row>
    <row r="567" ht="15.75" customHeight="1">
      <c r="C567" s="4" t="n"/>
      <c r="D567" s="4" t="n"/>
      <c r="E567" s="4" t="n"/>
      <c r="F567" s="4" t="n"/>
      <c r="G567" s="4" t="n"/>
    </row>
    <row r="568" ht="15.75" customHeight="1">
      <c r="C568" s="4" t="n"/>
      <c r="D568" s="4" t="n"/>
      <c r="E568" s="4" t="n"/>
      <c r="F568" s="4" t="n"/>
      <c r="G568" s="4" t="n"/>
    </row>
    <row r="569" ht="15.75" customHeight="1">
      <c r="C569" s="4" t="n"/>
      <c r="D569" s="4" t="n"/>
      <c r="E569" s="4" t="n"/>
      <c r="F569" s="4" t="n"/>
      <c r="G569" s="4" t="n"/>
    </row>
    <row r="570" ht="15.75" customHeight="1">
      <c r="C570" s="4" t="n"/>
      <c r="D570" s="4" t="n"/>
      <c r="E570" s="4" t="n"/>
      <c r="F570" s="4" t="n"/>
      <c r="G570" s="4" t="n"/>
    </row>
    <row r="571" ht="15.75" customHeight="1">
      <c r="C571" s="4" t="n"/>
      <c r="D571" s="4" t="n"/>
      <c r="E571" s="4" t="n"/>
      <c r="F571" s="4" t="n"/>
      <c r="G571" s="4" t="n"/>
    </row>
    <row r="572" ht="15.75" customHeight="1">
      <c r="C572" s="4" t="n"/>
      <c r="D572" s="4" t="n"/>
      <c r="E572" s="4" t="n"/>
      <c r="F572" s="4" t="n"/>
      <c r="G572" s="4" t="n"/>
    </row>
    <row r="573" ht="15.75" customHeight="1">
      <c r="C573" s="4" t="n"/>
      <c r="D573" s="4" t="n"/>
      <c r="E573" s="4" t="n"/>
      <c r="F573" s="4" t="n"/>
      <c r="G573" s="4" t="n"/>
    </row>
    <row r="574" ht="15.75" customHeight="1">
      <c r="C574" s="4" t="n"/>
      <c r="D574" s="4" t="n"/>
      <c r="E574" s="4" t="n"/>
      <c r="F574" s="4" t="n"/>
      <c r="G574" s="4" t="n"/>
    </row>
    <row r="575" ht="15.75" customHeight="1">
      <c r="C575" s="4" t="n"/>
      <c r="D575" s="4" t="n"/>
      <c r="E575" s="4" t="n"/>
      <c r="F575" s="4" t="n"/>
      <c r="G575" s="4" t="n"/>
    </row>
    <row r="576" ht="15.75" customHeight="1">
      <c r="C576" s="4" t="n"/>
      <c r="D576" s="4" t="n"/>
      <c r="E576" s="4" t="n"/>
      <c r="F576" s="4" t="n"/>
      <c r="G576" s="4" t="n"/>
    </row>
    <row r="577" ht="15.75" customHeight="1">
      <c r="C577" s="4" t="n"/>
      <c r="D577" s="4" t="n"/>
      <c r="E577" s="4" t="n"/>
      <c r="F577" s="4" t="n"/>
      <c r="G577" s="4" t="n"/>
    </row>
    <row r="578" ht="15.75" customHeight="1">
      <c r="C578" s="4" t="n"/>
      <c r="D578" s="4" t="n"/>
      <c r="E578" s="4" t="n"/>
      <c r="F578" s="4" t="n"/>
      <c r="G578" s="4" t="n"/>
    </row>
    <row r="579" ht="15.75" customHeight="1">
      <c r="C579" s="4" t="n"/>
      <c r="D579" s="4" t="n"/>
      <c r="E579" s="4" t="n"/>
      <c r="F579" s="4" t="n"/>
      <c r="G579" s="4" t="n"/>
    </row>
    <row r="580" ht="15.75" customHeight="1">
      <c r="C580" s="4" t="n"/>
      <c r="D580" s="4" t="n"/>
      <c r="E580" s="4" t="n"/>
      <c r="F580" s="4" t="n"/>
      <c r="G580" s="4" t="n"/>
    </row>
    <row r="581" ht="15.75" customHeight="1">
      <c r="C581" s="4" t="n"/>
      <c r="D581" s="4" t="n"/>
      <c r="E581" s="4" t="n"/>
      <c r="F581" s="4" t="n"/>
      <c r="G581" s="4" t="n"/>
    </row>
    <row r="582" ht="15.75" customHeight="1">
      <c r="C582" s="4" t="n"/>
      <c r="D582" s="4" t="n"/>
      <c r="E582" s="4" t="n"/>
      <c r="F582" s="4" t="n"/>
      <c r="G582" s="4" t="n"/>
    </row>
    <row r="583" ht="15.75" customHeight="1">
      <c r="C583" s="4" t="n"/>
      <c r="D583" s="4" t="n"/>
      <c r="E583" s="4" t="n"/>
      <c r="F583" s="4" t="n"/>
      <c r="G583" s="4" t="n"/>
    </row>
    <row r="584" ht="15.75" customHeight="1">
      <c r="C584" s="4" t="n"/>
      <c r="D584" s="4" t="n"/>
      <c r="E584" s="4" t="n"/>
      <c r="F584" s="4" t="n"/>
      <c r="G584" s="4" t="n"/>
    </row>
    <row r="585" ht="15.75" customHeight="1">
      <c r="C585" s="4" t="n"/>
      <c r="D585" s="4" t="n"/>
      <c r="E585" s="4" t="n"/>
      <c r="F585" s="4" t="n"/>
      <c r="G585" s="4" t="n"/>
    </row>
    <row r="586" ht="15.75" customHeight="1">
      <c r="C586" s="4" t="n"/>
      <c r="D586" s="4" t="n"/>
      <c r="E586" s="4" t="n"/>
      <c r="F586" s="4" t="n"/>
      <c r="G586" s="4" t="n"/>
    </row>
    <row r="587" ht="15.75" customHeight="1">
      <c r="C587" s="4" t="n"/>
      <c r="D587" s="4" t="n"/>
      <c r="E587" s="4" t="n"/>
      <c r="F587" s="4" t="n"/>
      <c r="G587" s="4" t="n"/>
    </row>
    <row r="588" ht="15.75" customHeight="1">
      <c r="C588" s="4" t="n"/>
      <c r="D588" s="4" t="n"/>
      <c r="E588" s="4" t="n"/>
      <c r="F588" s="4" t="n"/>
      <c r="G588" s="4" t="n"/>
    </row>
    <row r="589" ht="15.75" customHeight="1">
      <c r="C589" s="4" t="n"/>
      <c r="D589" s="4" t="n"/>
      <c r="E589" s="4" t="n"/>
      <c r="F589" s="4" t="n"/>
      <c r="G589" s="4" t="n"/>
    </row>
    <row r="590" ht="15.75" customHeight="1">
      <c r="C590" s="4" t="n"/>
      <c r="D590" s="4" t="n"/>
      <c r="E590" s="4" t="n"/>
      <c r="F590" s="4" t="n"/>
      <c r="G590" s="4" t="n"/>
    </row>
    <row r="591" ht="15.75" customHeight="1">
      <c r="C591" s="4" t="n"/>
      <c r="D591" s="4" t="n"/>
      <c r="E591" s="4" t="n"/>
      <c r="F591" s="4" t="n"/>
      <c r="G591" s="4" t="n"/>
    </row>
    <row r="592" ht="15.75" customHeight="1">
      <c r="C592" s="4" t="n"/>
      <c r="D592" s="4" t="n"/>
      <c r="E592" s="4" t="n"/>
      <c r="F592" s="4" t="n"/>
      <c r="G592" s="4" t="n"/>
    </row>
    <row r="593" ht="15.75" customHeight="1">
      <c r="C593" s="4" t="n"/>
      <c r="D593" s="4" t="n"/>
      <c r="E593" s="4" t="n"/>
      <c r="F593" s="4" t="n"/>
      <c r="G593" s="4" t="n"/>
    </row>
    <row r="594" ht="15.75" customHeight="1">
      <c r="C594" s="4" t="n"/>
      <c r="D594" s="4" t="n"/>
      <c r="E594" s="4" t="n"/>
      <c r="F594" s="4" t="n"/>
      <c r="G594" s="4" t="n"/>
    </row>
    <row r="595" ht="15.75" customHeight="1">
      <c r="C595" s="4" t="n"/>
      <c r="D595" s="4" t="n"/>
      <c r="E595" s="4" t="n"/>
      <c r="F595" s="4" t="n"/>
      <c r="G595" s="4" t="n"/>
    </row>
    <row r="596" ht="15.75" customHeight="1">
      <c r="C596" s="4" t="n"/>
      <c r="D596" s="4" t="n"/>
      <c r="E596" s="4" t="n"/>
      <c r="F596" s="4" t="n"/>
      <c r="G596" s="4" t="n"/>
    </row>
    <row r="597" ht="15.75" customHeight="1">
      <c r="C597" s="4" t="n"/>
      <c r="D597" s="4" t="n"/>
      <c r="E597" s="4" t="n"/>
      <c r="F597" s="4" t="n"/>
      <c r="G597" s="4" t="n"/>
    </row>
    <row r="598" ht="15.75" customHeight="1">
      <c r="C598" s="4" t="n"/>
      <c r="D598" s="4" t="n"/>
      <c r="E598" s="4" t="n"/>
      <c r="F598" s="4" t="n"/>
      <c r="G598" s="4" t="n"/>
    </row>
    <row r="599" ht="15.75" customHeight="1">
      <c r="C599" s="4" t="n"/>
      <c r="D599" s="4" t="n"/>
      <c r="E599" s="4" t="n"/>
      <c r="F599" s="4" t="n"/>
      <c r="G599" s="4" t="n"/>
    </row>
    <row r="600" ht="15.75" customHeight="1">
      <c r="C600" s="4" t="n"/>
      <c r="D600" s="4" t="n"/>
      <c r="E600" s="4" t="n"/>
      <c r="F600" s="4" t="n"/>
      <c r="G600" s="4" t="n"/>
    </row>
    <row r="601" ht="15.75" customHeight="1">
      <c r="C601" s="4" t="n"/>
      <c r="D601" s="4" t="n"/>
      <c r="E601" s="4" t="n"/>
      <c r="F601" s="4" t="n"/>
      <c r="G601" s="4" t="n"/>
    </row>
    <row r="602" ht="15.75" customHeight="1">
      <c r="C602" s="4" t="n"/>
      <c r="D602" s="4" t="n"/>
      <c r="E602" s="4" t="n"/>
      <c r="F602" s="4" t="n"/>
      <c r="G602" s="4" t="n"/>
    </row>
    <row r="603" ht="15.75" customHeight="1">
      <c r="C603" s="4" t="n"/>
      <c r="D603" s="4" t="n"/>
      <c r="E603" s="4" t="n"/>
      <c r="F603" s="4" t="n"/>
      <c r="G603" s="4" t="n"/>
    </row>
    <row r="604" ht="15.75" customHeight="1">
      <c r="C604" s="4" t="n"/>
      <c r="D604" s="4" t="n"/>
      <c r="E604" s="4" t="n"/>
      <c r="F604" s="4" t="n"/>
      <c r="G604" s="4" t="n"/>
    </row>
    <row r="605" ht="15.75" customHeight="1">
      <c r="C605" s="4" t="n"/>
      <c r="D605" s="4" t="n"/>
      <c r="E605" s="4" t="n"/>
      <c r="F605" s="4" t="n"/>
      <c r="G605" s="4" t="n"/>
    </row>
    <row r="606" ht="15.75" customHeight="1">
      <c r="C606" s="4" t="n"/>
      <c r="D606" s="4" t="n"/>
      <c r="E606" s="4" t="n"/>
      <c r="F606" s="4" t="n"/>
      <c r="G606" s="4" t="n"/>
    </row>
    <row r="607" ht="15.75" customHeight="1">
      <c r="C607" s="4" t="n"/>
      <c r="D607" s="4" t="n"/>
      <c r="E607" s="4" t="n"/>
      <c r="F607" s="4" t="n"/>
      <c r="G607" s="4" t="n"/>
    </row>
    <row r="608" ht="15.75" customHeight="1">
      <c r="C608" s="4" t="n"/>
      <c r="D608" s="4" t="n"/>
      <c r="E608" s="4" t="n"/>
      <c r="F608" s="4" t="n"/>
      <c r="G608" s="4" t="n"/>
    </row>
    <row r="609" ht="15.75" customHeight="1">
      <c r="C609" s="4" t="n"/>
      <c r="D609" s="4" t="n"/>
      <c r="E609" s="4" t="n"/>
      <c r="F609" s="4" t="n"/>
      <c r="G609" s="4" t="n"/>
    </row>
    <row r="610" ht="15.75" customHeight="1">
      <c r="C610" s="4" t="n"/>
      <c r="D610" s="4" t="n"/>
      <c r="E610" s="4" t="n"/>
      <c r="F610" s="4" t="n"/>
      <c r="G610" s="4" t="n"/>
    </row>
    <row r="611" ht="15.75" customHeight="1">
      <c r="C611" s="4" t="n"/>
      <c r="D611" s="4" t="n"/>
      <c r="E611" s="4" t="n"/>
      <c r="F611" s="4" t="n"/>
      <c r="G611" s="4" t="n"/>
    </row>
    <row r="612" ht="15.75" customHeight="1">
      <c r="C612" s="4" t="n"/>
      <c r="D612" s="4" t="n"/>
      <c r="E612" s="4" t="n"/>
      <c r="F612" s="4" t="n"/>
      <c r="G612" s="4" t="n"/>
    </row>
    <row r="613" ht="15.75" customHeight="1">
      <c r="C613" s="4" t="n"/>
      <c r="D613" s="4" t="n"/>
      <c r="E613" s="4" t="n"/>
      <c r="F613" s="4" t="n"/>
      <c r="G613" s="4" t="n"/>
    </row>
    <row r="614" ht="15.75" customHeight="1">
      <c r="C614" s="4" t="n"/>
      <c r="D614" s="4" t="n"/>
      <c r="E614" s="4" t="n"/>
      <c r="F614" s="4" t="n"/>
      <c r="G614" s="4" t="n"/>
    </row>
    <row r="615" ht="15.75" customHeight="1">
      <c r="C615" s="4" t="n"/>
      <c r="D615" s="4" t="n"/>
      <c r="E615" s="4" t="n"/>
      <c r="F615" s="4" t="n"/>
      <c r="G615" s="4" t="n"/>
    </row>
    <row r="616" ht="15.75" customHeight="1">
      <c r="C616" s="4" t="n"/>
      <c r="D616" s="4" t="n"/>
      <c r="E616" s="4" t="n"/>
      <c r="F616" s="4" t="n"/>
      <c r="G616" s="4" t="n"/>
    </row>
    <row r="617" ht="15.75" customHeight="1">
      <c r="C617" s="4" t="n"/>
      <c r="D617" s="4" t="n"/>
      <c r="E617" s="4" t="n"/>
      <c r="F617" s="4" t="n"/>
      <c r="G617" s="4" t="n"/>
    </row>
    <row r="618" ht="15.75" customHeight="1">
      <c r="C618" s="4" t="n"/>
      <c r="D618" s="4" t="n"/>
      <c r="E618" s="4" t="n"/>
      <c r="F618" s="4" t="n"/>
      <c r="G618" s="4" t="n"/>
    </row>
    <row r="619" ht="15.75" customHeight="1">
      <c r="C619" s="4" t="n"/>
      <c r="D619" s="4" t="n"/>
      <c r="E619" s="4" t="n"/>
      <c r="F619" s="4" t="n"/>
      <c r="G619" s="4" t="n"/>
    </row>
    <row r="620" ht="15.75" customHeight="1">
      <c r="C620" s="4" t="n"/>
      <c r="D620" s="4" t="n"/>
      <c r="E620" s="4" t="n"/>
      <c r="F620" s="4" t="n"/>
      <c r="G620" s="4" t="n"/>
    </row>
    <row r="621" ht="15.75" customHeight="1">
      <c r="C621" s="4" t="n"/>
      <c r="D621" s="4" t="n"/>
      <c r="E621" s="4" t="n"/>
      <c r="F621" s="4" t="n"/>
      <c r="G621" s="4" t="n"/>
    </row>
    <row r="622" ht="15.75" customHeight="1">
      <c r="C622" s="4" t="n"/>
      <c r="D622" s="4" t="n"/>
      <c r="E622" s="4" t="n"/>
      <c r="F622" s="4" t="n"/>
      <c r="G622" s="4" t="n"/>
    </row>
    <row r="623" ht="15.75" customHeight="1">
      <c r="C623" s="4" t="n"/>
      <c r="D623" s="4" t="n"/>
      <c r="E623" s="4" t="n"/>
      <c r="F623" s="4" t="n"/>
      <c r="G623" s="4" t="n"/>
    </row>
    <row r="624" ht="15.75" customHeight="1">
      <c r="C624" s="4" t="n"/>
      <c r="D624" s="4" t="n"/>
      <c r="E624" s="4" t="n"/>
      <c r="F624" s="4" t="n"/>
      <c r="G624" s="4" t="n"/>
    </row>
    <row r="625" ht="15.75" customHeight="1">
      <c r="C625" s="4" t="n"/>
      <c r="D625" s="4" t="n"/>
      <c r="E625" s="4" t="n"/>
      <c r="F625" s="4" t="n"/>
      <c r="G625" s="4" t="n"/>
    </row>
    <row r="626" ht="15.75" customHeight="1">
      <c r="C626" s="4" t="n"/>
      <c r="D626" s="4" t="n"/>
      <c r="E626" s="4" t="n"/>
      <c r="F626" s="4" t="n"/>
      <c r="G626" s="4" t="n"/>
    </row>
    <row r="627" ht="15.75" customHeight="1">
      <c r="C627" s="4" t="n"/>
      <c r="D627" s="4" t="n"/>
      <c r="E627" s="4" t="n"/>
      <c r="F627" s="4" t="n"/>
      <c r="G627" s="4" t="n"/>
    </row>
    <row r="628" ht="15.75" customHeight="1">
      <c r="C628" s="4" t="n"/>
      <c r="D628" s="4" t="n"/>
      <c r="E628" s="4" t="n"/>
      <c r="F628" s="4" t="n"/>
      <c r="G628" s="4" t="n"/>
    </row>
    <row r="629" ht="15.75" customHeight="1">
      <c r="C629" s="4" t="n"/>
      <c r="D629" s="4" t="n"/>
      <c r="E629" s="4" t="n"/>
      <c r="F629" s="4" t="n"/>
      <c r="G629" s="4" t="n"/>
    </row>
    <row r="630" ht="15.75" customHeight="1">
      <c r="C630" s="4" t="n"/>
      <c r="D630" s="4" t="n"/>
      <c r="E630" s="4" t="n"/>
      <c r="F630" s="4" t="n"/>
      <c r="G630" s="4" t="n"/>
    </row>
    <row r="631" ht="15.75" customHeight="1">
      <c r="C631" s="4" t="n"/>
      <c r="D631" s="4" t="n"/>
      <c r="E631" s="4" t="n"/>
      <c r="F631" s="4" t="n"/>
      <c r="G631" s="4" t="n"/>
    </row>
    <row r="632" ht="15.75" customHeight="1">
      <c r="C632" s="4" t="n"/>
      <c r="D632" s="4" t="n"/>
      <c r="E632" s="4" t="n"/>
      <c r="F632" s="4" t="n"/>
      <c r="G632" s="4" t="n"/>
    </row>
    <row r="633" ht="15.75" customHeight="1">
      <c r="C633" s="4" t="n"/>
      <c r="D633" s="4" t="n"/>
      <c r="E633" s="4" t="n"/>
      <c r="F633" s="4" t="n"/>
      <c r="G633" s="4" t="n"/>
    </row>
    <row r="634" ht="15.75" customHeight="1">
      <c r="C634" s="4" t="n"/>
      <c r="D634" s="4" t="n"/>
      <c r="E634" s="4" t="n"/>
      <c r="F634" s="4" t="n"/>
      <c r="G634" s="4" t="n"/>
    </row>
    <row r="635" ht="15.75" customHeight="1">
      <c r="C635" s="4" t="n"/>
      <c r="D635" s="4" t="n"/>
      <c r="E635" s="4" t="n"/>
      <c r="F635" s="4" t="n"/>
      <c r="G635" s="4" t="n"/>
    </row>
    <row r="636" ht="15.75" customHeight="1">
      <c r="C636" s="4" t="n"/>
      <c r="D636" s="4" t="n"/>
      <c r="E636" s="4" t="n"/>
      <c r="F636" s="4" t="n"/>
      <c r="G636" s="4" t="n"/>
    </row>
    <row r="637" ht="15.75" customHeight="1">
      <c r="C637" s="4" t="n"/>
      <c r="D637" s="4" t="n"/>
      <c r="E637" s="4" t="n"/>
      <c r="F637" s="4" t="n"/>
      <c r="G637" s="4" t="n"/>
    </row>
    <row r="638" ht="15.75" customHeight="1">
      <c r="C638" s="4" t="n"/>
      <c r="D638" s="4" t="n"/>
      <c r="E638" s="4" t="n"/>
      <c r="F638" s="4" t="n"/>
      <c r="G638" s="4" t="n"/>
    </row>
    <row r="639" ht="15.75" customHeight="1">
      <c r="C639" s="4" t="n"/>
      <c r="D639" s="4" t="n"/>
      <c r="E639" s="4" t="n"/>
      <c r="F639" s="4" t="n"/>
      <c r="G639" s="4" t="n"/>
    </row>
    <row r="640" ht="15.75" customHeight="1">
      <c r="C640" s="4" t="n"/>
      <c r="D640" s="4" t="n"/>
      <c r="E640" s="4" t="n"/>
      <c r="F640" s="4" t="n"/>
      <c r="G640" s="4" t="n"/>
    </row>
    <row r="641" ht="15.75" customHeight="1">
      <c r="C641" s="4" t="n"/>
      <c r="D641" s="4" t="n"/>
      <c r="E641" s="4" t="n"/>
      <c r="F641" s="4" t="n"/>
      <c r="G641" s="4" t="n"/>
    </row>
    <row r="642" ht="15.75" customHeight="1">
      <c r="C642" s="4" t="n"/>
      <c r="D642" s="4" t="n"/>
      <c r="E642" s="4" t="n"/>
      <c r="F642" s="4" t="n"/>
      <c r="G642" s="4" t="n"/>
    </row>
    <row r="643" ht="15.75" customHeight="1">
      <c r="C643" s="4" t="n"/>
      <c r="D643" s="4" t="n"/>
      <c r="E643" s="4" t="n"/>
      <c r="F643" s="4" t="n"/>
      <c r="G643" s="4" t="n"/>
    </row>
    <row r="644" ht="15.75" customHeight="1">
      <c r="C644" s="4" t="n"/>
      <c r="D644" s="4" t="n"/>
      <c r="E644" s="4" t="n"/>
      <c r="F644" s="4" t="n"/>
      <c r="G644" s="4" t="n"/>
    </row>
    <row r="645" ht="15.75" customHeight="1">
      <c r="C645" s="4" t="n"/>
      <c r="D645" s="4" t="n"/>
      <c r="E645" s="4" t="n"/>
      <c r="F645" s="4" t="n"/>
      <c r="G645" s="4" t="n"/>
    </row>
    <row r="646" ht="15.75" customHeight="1">
      <c r="C646" s="4" t="n"/>
      <c r="D646" s="4" t="n"/>
      <c r="E646" s="4" t="n"/>
      <c r="F646" s="4" t="n"/>
      <c r="G646" s="4" t="n"/>
    </row>
    <row r="647" ht="15.75" customHeight="1">
      <c r="C647" s="4" t="n"/>
      <c r="D647" s="4" t="n"/>
      <c r="E647" s="4" t="n"/>
      <c r="F647" s="4" t="n"/>
      <c r="G647" s="4" t="n"/>
    </row>
    <row r="648" ht="15.75" customHeight="1">
      <c r="C648" s="4" t="n"/>
      <c r="D648" s="4" t="n"/>
      <c r="E648" s="4" t="n"/>
      <c r="F648" s="4" t="n"/>
      <c r="G648" s="4" t="n"/>
    </row>
    <row r="649" ht="15.75" customHeight="1">
      <c r="C649" s="4" t="n"/>
      <c r="D649" s="4" t="n"/>
      <c r="E649" s="4" t="n"/>
      <c r="F649" s="4" t="n"/>
      <c r="G649" s="4" t="n"/>
    </row>
    <row r="650" ht="15.75" customHeight="1">
      <c r="C650" s="4" t="n"/>
      <c r="D650" s="4" t="n"/>
      <c r="E650" s="4" t="n"/>
      <c r="F650" s="4" t="n"/>
      <c r="G650" s="4" t="n"/>
    </row>
    <row r="651" ht="15.75" customHeight="1">
      <c r="C651" s="4" t="n"/>
      <c r="D651" s="4" t="n"/>
      <c r="E651" s="4" t="n"/>
      <c r="F651" s="4" t="n"/>
      <c r="G651" s="4" t="n"/>
    </row>
    <row r="652" ht="15.75" customHeight="1">
      <c r="C652" s="4" t="n"/>
      <c r="D652" s="4" t="n"/>
      <c r="E652" s="4" t="n"/>
      <c r="F652" s="4" t="n"/>
      <c r="G652" s="4" t="n"/>
    </row>
    <row r="653" ht="15.75" customHeight="1">
      <c r="C653" s="4" t="n"/>
      <c r="D653" s="4" t="n"/>
      <c r="E653" s="4" t="n"/>
      <c r="F653" s="4" t="n"/>
      <c r="G653" s="4" t="n"/>
    </row>
    <row r="654" ht="15.75" customHeight="1">
      <c r="C654" s="4" t="n"/>
      <c r="D654" s="4" t="n"/>
      <c r="E654" s="4" t="n"/>
      <c r="F654" s="4" t="n"/>
      <c r="G654" s="4" t="n"/>
    </row>
    <row r="655" ht="15.75" customHeight="1">
      <c r="C655" s="4" t="n"/>
      <c r="D655" s="4" t="n"/>
      <c r="E655" s="4" t="n"/>
      <c r="F655" s="4" t="n"/>
      <c r="G655" s="4" t="n"/>
    </row>
    <row r="656" ht="15.75" customHeight="1">
      <c r="C656" s="4" t="n"/>
      <c r="D656" s="4" t="n"/>
      <c r="E656" s="4" t="n"/>
      <c r="F656" s="4" t="n"/>
      <c r="G656" s="4" t="n"/>
    </row>
    <row r="657" ht="15.75" customHeight="1">
      <c r="C657" s="4" t="n"/>
      <c r="D657" s="4" t="n"/>
      <c r="E657" s="4" t="n"/>
      <c r="F657" s="4" t="n"/>
      <c r="G657" s="4" t="n"/>
    </row>
    <row r="658" ht="15.75" customHeight="1">
      <c r="C658" s="4" t="n"/>
      <c r="D658" s="4" t="n"/>
      <c r="E658" s="4" t="n"/>
      <c r="F658" s="4" t="n"/>
      <c r="G658" s="4" t="n"/>
    </row>
    <row r="659" ht="15.75" customHeight="1">
      <c r="C659" s="4" t="n"/>
      <c r="D659" s="4" t="n"/>
      <c r="E659" s="4" t="n"/>
      <c r="F659" s="4" t="n"/>
      <c r="G659" s="4" t="n"/>
    </row>
    <row r="660" ht="15.75" customHeight="1">
      <c r="C660" s="4" t="n"/>
      <c r="D660" s="4" t="n"/>
      <c r="E660" s="4" t="n"/>
      <c r="F660" s="4" t="n"/>
      <c r="G660" s="4" t="n"/>
    </row>
    <row r="661" ht="15.75" customHeight="1">
      <c r="C661" s="4" t="n"/>
      <c r="D661" s="4" t="n"/>
      <c r="E661" s="4" t="n"/>
      <c r="F661" s="4" t="n"/>
      <c r="G661" s="4" t="n"/>
    </row>
    <row r="662" ht="15.75" customHeight="1">
      <c r="C662" s="4" t="n"/>
      <c r="D662" s="4" t="n"/>
      <c r="E662" s="4" t="n"/>
      <c r="F662" s="4" t="n"/>
      <c r="G662" s="4" t="n"/>
    </row>
    <row r="663" ht="15.75" customHeight="1">
      <c r="C663" s="4" t="n"/>
      <c r="D663" s="4" t="n"/>
      <c r="E663" s="4" t="n"/>
      <c r="F663" s="4" t="n"/>
      <c r="G663" s="4" t="n"/>
    </row>
    <row r="664" ht="15.75" customHeight="1">
      <c r="C664" s="4" t="n"/>
      <c r="D664" s="4" t="n"/>
      <c r="E664" s="4" t="n"/>
      <c r="F664" s="4" t="n"/>
      <c r="G664" s="4" t="n"/>
    </row>
    <row r="665" ht="15.75" customHeight="1">
      <c r="C665" s="4" t="n"/>
      <c r="D665" s="4" t="n"/>
      <c r="E665" s="4" t="n"/>
      <c r="F665" s="4" t="n"/>
      <c r="G665" s="4" t="n"/>
    </row>
    <row r="666" ht="15.75" customHeight="1">
      <c r="C666" s="4" t="n"/>
      <c r="D666" s="4" t="n"/>
      <c r="E666" s="4" t="n"/>
      <c r="F666" s="4" t="n"/>
      <c r="G666" s="4" t="n"/>
    </row>
    <row r="667" ht="15.75" customHeight="1">
      <c r="C667" s="4" t="n"/>
      <c r="D667" s="4" t="n"/>
      <c r="E667" s="4" t="n"/>
      <c r="F667" s="4" t="n"/>
      <c r="G667" s="4" t="n"/>
    </row>
    <row r="668" ht="15.75" customHeight="1">
      <c r="C668" s="4" t="n"/>
      <c r="D668" s="4" t="n"/>
      <c r="E668" s="4" t="n"/>
      <c r="F668" s="4" t="n"/>
      <c r="G668" s="4" t="n"/>
    </row>
    <row r="669" ht="15.75" customHeight="1">
      <c r="C669" s="4" t="n"/>
      <c r="D669" s="4" t="n"/>
      <c r="E669" s="4" t="n"/>
      <c r="F669" s="4" t="n"/>
      <c r="G669" s="4" t="n"/>
    </row>
    <row r="670" ht="15.75" customHeight="1">
      <c r="C670" s="4" t="n"/>
      <c r="D670" s="4" t="n"/>
      <c r="E670" s="4" t="n"/>
      <c r="F670" s="4" t="n"/>
      <c r="G670" s="4" t="n"/>
    </row>
    <row r="671" ht="15.75" customHeight="1">
      <c r="C671" s="4" t="n"/>
      <c r="D671" s="4" t="n"/>
      <c r="E671" s="4" t="n"/>
      <c r="F671" s="4" t="n"/>
      <c r="G671" s="4" t="n"/>
    </row>
    <row r="672" ht="15.75" customHeight="1">
      <c r="C672" s="4" t="n"/>
      <c r="D672" s="4" t="n"/>
      <c r="E672" s="4" t="n"/>
      <c r="F672" s="4" t="n"/>
      <c r="G672" s="4" t="n"/>
    </row>
    <row r="673" ht="15.75" customHeight="1">
      <c r="C673" s="4" t="n"/>
      <c r="D673" s="4" t="n"/>
      <c r="E673" s="4" t="n"/>
      <c r="F673" s="4" t="n"/>
      <c r="G673" s="4" t="n"/>
    </row>
    <row r="674" ht="15.75" customHeight="1">
      <c r="C674" s="4" t="n"/>
      <c r="D674" s="4" t="n"/>
      <c r="E674" s="4" t="n"/>
      <c r="F674" s="4" t="n"/>
      <c r="G674" s="4" t="n"/>
    </row>
    <row r="675" ht="15.75" customHeight="1">
      <c r="C675" s="4" t="n"/>
      <c r="D675" s="4" t="n"/>
      <c r="E675" s="4" t="n"/>
      <c r="F675" s="4" t="n"/>
      <c r="G675" s="4" t="n"/>
    </row>
    <row r="676" ht="15.75" customHeight="1">
      <c r="C676" s="4" t="n"/>
      <c r="D676" s="4" t="n"/>
      <c r="E676" s="4" t="n"/>
      <c r="F676" s="4" t="n"/>
      <c r="G676" s="4" t="n"/>
    </row>
    <row r="677" ht="15.75" customHeight="1">
      <c r="C677" s="4" t="n"/>
      <c r="D677" s="4" t="n"/>
      <c r="E677" s="4" t="n"/>
      <c r="F677" s="4" t="n"/>
      <c r="G677" s="4" t="n"/>
    </row>
    <row r="678" ht="15.75" customHeight="1">
      <c r="C678" s="4" t="n"/>
      <c r="D678" s="4" t="n"/>
      <c r="E678" s="4" t="n"/>
      <c r="F678" s="4" t="n"/>
      <c r="G678" s="4" t="n"/>
    </row>
    <row r="679" ht="15.75" customHeight="1">
      <c r="C679" s="4" t="n"/>
      <c r="D679" s="4" t="n"/>
      <c r="E679" s="4" t="n"/>
      <c r="F679" s="4" t="n"/>
      <c r="G679" s="4" t="n"/>
    </row>
    <row r="680" ht="15.75" customHeight="1">
      <c r="C680" s="4" t="n"/>
      <c r="D680" s="4" t="n"/>
      <c r="E680" s="4" t="n"/>
      <c r="F680" s="4" t="n"/>
      <c r="G680" s="4" t="n"/>
    </row>
    <row r="681" ht="15.75" customHeight="1">
      <c r="C681" s="4" t="n"/>
      <c r="D681" s="4" t="n"/>
      <c r="E681" s="4" t="n"/>
      <c r="F681" s="4" t="n"/>
      <c r="G681" s="4" t="n"/>
    </row>
    <row r="682" ht="15.75" customHeight="1">
      <c r="C682" s="4" t="n"/>
      <c r="D682" s="4" t="n"/>
      <c r="E682" s="4" t="n"/>
      <c r="F682" s="4" t="n"/>
      <c r="G682" s="4" t="n"/>
    </row>
    <row r="683" ht="15.75" customHeight="1">
      <c r="C683" s="4" t="n"/>
      <c r="D683" s="4" t="n"/>
      <c r="E683" s="4" t="n"/>
      <c r="F683" s="4" t="n"/>
      <c r="G683" s="4" t="n"/>
    </row>
    <row r="684" ht="15.75" customHeight="1">
      <c r="C684" s="4" t="n"/>
      <c r="D684" s="4" t="n"/>
      <c r="E684" s="4" t="n"/>
      <c r="F684" s="4" t="n"/>
      <c r="G684" s="4" t="n"/>
    </row>
    <row r="685" ht="15.75" customHeight="1">
      <c r="C685" s="4" t="n"/>
      <c r="D685" s="4" t="n"/>
      <c r="E685" s="4" t="n"/>
      <c r="F685" s="4" t="n"/>
      <c r="G685" s="4" t="n"/>
    </row>
    <row r="686" ht="15.75" customHeight="1">
      <c r="C686" s="4" t="n"/>
      <c r="D686" s="4" t="n"/>
      <c r="E686" s="4" t="n"/>
      <c r="F686" s="4" t="n"/>
      <c r="G686" s="4" t="n"/>
    </row>
    <row r="687" ht="15.75" customHeight="1">
      <c r="C687" s="4" t="n"/>
      <c r="D687" s="4" t="n"/>
      <c r="E687" s="4" t="n"/>
      <c r="F687" s="4" t="n"/>
      <c r="G687" s="4" t="n"/>
    </row>
    <row r="688" ht="15.75" customHeight="1">
      <c r="C688" s="4" t="n"/>
      <c r="D688" s="4" t="n"/>
      <c r="E688" s="4" t="n"/>
      <c r="F688" s="4" t="n"/>
      <c r="G688" s="4" t="n"/>
    </row>
    <row r="689" ht="15.75" customHeight="1">
      <c r="C689" s="4" t="n"/>
      <c r="D689" s="4" t="n"/>
      <c r="E689" s="4" t="n"/>
      <c r="F689" s="4" t="n"/>
      <c r="G689" s="4" t="n"/>
    </row>
    <row r="690" ht="15.75" customHeight="1">
      <c r="C690" s="4" t="n"/>
      <c r="D690" s="4" t="n"/>
      <c r="E690" s="4" t="n"/>
      <c r="F690" s="4" t="n"/>
      <c r="G690" s="4" t="n"/>
    </row>
    <row r="691" ht="15.75" customHeight="1">
      <c r="C691" s="4" t="n"/>
      <c r="D691" s="4" t="n"/>
      <c r="E691" s="4" t="n"/>
      <c r="F691" s="4" t="n"/>
      <c r="G691" s="4" t="n"/>
    </row>
    <row r="692" ht="15.75" customHeight="1">
      <c r="C692" s="4" t="n"/>
      <c r="D692" s="4" t="n"/>
      <c r="E692" s="4" t="n"/>
      <c r="F692" s="4" t="n"/>
      <c r="G692" s="4" t="n"/>
    </row>
    <row r="693" ht="15.75" customHeight="1">
      <c r="C693" s="4" t="n"/>
      <c r="D693" s="4" t="n"/>
      <c r="E693" s="4" t="n"/>
      <c r="F693" s="4" t="n"/>
      <c r="G693" s="4" t="n"/>
    </row>
    <row r="694" ht="15.75" customHeight="1">
      <c r="C694" s="4" t="n"/>
      <c r="D694" s="4" t="n"/>
      <c r="E694" s="4" t="n"/>
      <c r="F694" s="4" t="n"/>
      <c r="G694" s="4" t="n"/>
    </row>
    <row r="695" ht="15.75" customHeight="1">
      <c r="C695" s="4" t="n"/>
      <c r="D695" s="4" t="n"/>
      <c r="E695" s="4" t="n"/>
      <c r="F695" s="4" t="n"/>
      <c r="G695" s="4" t="n"/>
    </row>
    <row r="696" ht="15.75" customHeight="1">
      <c r="C696" s="4" t="n"/>
      <c r="D696" s="4" t="n"/>
      <c r="E696" s="4" t="n"/>
      <c r="F696" s="4" t="n"/>
      <c r="G696" s="4" t="n"/>
    </row>
    <row r="697" ht="15.75" customHeight="1">
      <c r="C697" s="4" t="n"/>
      <c r="D697" s="4" t="n"/>
      <c r="E697" s="4" t="n"/>
      <c r="F697" s="4" t="n"/>
      <c r="G697" s="4" t="n"/>
    </row>
    <row r="698" ht="15.75" customHeight="1">
      <c r="C698" s="4" t="n"/>
      <c r="D698" s="4" t="n"/>
      <c r="E698" s="4" t="n"/>
      <c r="F698" s="4" t="n"/>
      <c r="G698" s="4" t="n"/>
    </row>
    <row r="699" ht="15.75" customHeight="1">
      <c r="C699" s="4" t="n"/>
      <c r="D699" s="4" t="n"/>
      <c r="E699" s="4" t="n"/>
      <c r="F699" s="4" t="n"/>
      <c r="G699" s="4" t="n"/>
    </row>
    <row r="700" ht="15.75" customHeight="1">
      <c r="C700" s="4" t="n"/>
      <c r="D700" s="4" t="n"/>
      <c r="E700" s="4" t="n"/>
      <c r="F700" s="4" t="n"/>
      <c r="G700" s="4" t="n"/>
    </row>
    <row r="701" ht="15.75" customHeight="1">
      <c r="C701" s="4" t="n"/>
      <c r="D701" s="4" t="n"/>
      <c r="E701" s="4" t="n"/>
      <c r="F701" s="4" t="n"/>
      <c r="G701" s="4" t="n"/>
    </row>
    <row r="702" ht="15.75" customHeight="1">
      <c r="C702" s="4" t="n"/>
      <c r="D702" s="4" t="n"/>
      <c r="E702" s="4" t="n"/>
      <c r="F702" s="4" t="n"/>
      <c r="G702" s="4" t="n"/>
    </row>
    <row r="703" ht="15.75" customHeight="1">
      <c r="C703" s="4" t="n"/>
      <c r="D703" s="4" t="n"/>
      <c r="E703" s="4" t="n"/>
      <c r="F703" s="4" t="n"/>
      <c r="G703" s="4" t="n"/>
    </row>
    <row r="704" ht="15.75" customHeight="1">
      <c r="C704" s="4" t="n"/>
      <c r="D704" s="4" t="n"/>
      <c r="E704" s="4" t="n"/>
      <c r="F704" s="4" t="n"/>
      <c r="G704" s="4" t="n"/>
    </row>
    <row r="705" ht="15.75" customHeight="1">
      <c r="C705" s="4" t="n"/>
      <c r="D705" s="4" t="n"/>
      <c r="E705" s="4" t="n"/>
      <c r="F705" s="4" t="n"/>
      <c r="G705" s="4" t="n"/>
    </row>
    <row r="706" ht="15.75" customHeight="1">
      <c r="C706" s="4" t="n"/>
      <c r="D706" s="4" t="n"/>
      <c r="E706" s="4" t="n"/>
      <c r="F706" s="4" t="n"/>
      <c r="G706" s="4" t="n"/>
    </row>
    <row r="707" ht="15.75" customHeight="1">
      <c r="C707" s="4" t="n"/>
      <c r="D707" s="4" t="n"/>
      <c r="E707" s="4" t="n"/>
      <c r="F707" s="4" t="n"/>
      <c r="G707" s="4" t="n"/>
    </row>
    <row r="708" ht="15.75" customHeight="1">
      <c r="C708" s="4" t="n"/>
      <c r="D708" s="4" t="n"/>
      <c r="E708" s="4" t="n"/>
      <c r="F708" s="4" t="n"/>
      <c r="G708" s="4" t="n"/>
    </row>
    <row r="709" ht="15.75" customHeight="1">
      <c r="C709" s="4" t="n"/>
      <c r="D709" s="4" t="n"/>
      <c r="E709" s="4" t="n"/>
      <c r="F709" s="4" t="n"/>
      <c r="G709" s="4" t="n"/>
    </row>
    <row r="710" ht="15.75" customHeight="1">
      <c r="C710" s="4" t="n"/>
      <c r="D710" s="4" t="n"/>
      <c r="E710" s="4" t="n"/>
      <c r="F710" s="4" t="n"/>
      <c r="G710" s="4" t="n"/>
    </row>
    <row r="711" ht="15.75" customHeight="1">
      <c r="C711" s="4" t="n"/>
      <c r="D711" s="4" t="n"/>
      <c r="E711" s="4" t="n"/>
      <c r="F711" s="4" t="n"/>
      <c r="G711" s="4" t="n"/>
    </row>
    <row r="712" ht="15.75" customHeight="1">
      <c r="C712" s="4" t="n"/>
      <c r="D712" s="4" t="n"/>
      <c r="E712" s="4" t="n"/>
      <c r="F712" s="4" t="n"/>
      <c r="G712" s="4" t="n"/>
    </row>
    <row r="713" ht="15.75" customHeight="1">
      <c r="C713" s="4" t="n"/>
      <c r="D713" s="4" t="n"/>
      <c r="E713" s="4" t="n"/>
      <c r="F713" s="4" t="n"/>
      <c r="G713" s="4" t="n"/>
    </row>
    <row r="714" ht="15.75" customHeight="1">
      <c r="C714" s="4" t="n"/>
      <c r="D714" s="4" t="n"/>
      <c r="E714" s="4" t="n"/>
      <c r="F714" s="4" t="n"/>
      <c r="G714" s="4" t="n"/>
    </row>
    <row r="715" ht="15.75" customHeight="1">
      <c r="C715" s="4" t="n"/>
      <c r="D715" s="4" t="n"/>
      <c r="E715" s="4" t="n"/>
      <c r="F715" s="4" t="n"/>
      <c r="G715" s="4" t="n"/>
    </row>
    <row r="716" ht="15.75" customHeight="1">
      <c r="C716" s="4" t="n"/>
      <c r="D716" s="4" t="n"/>
      <c r="E716" s="4" t="n"/>
      <c r="F716" s="4" t="n"/>
      <c r="G716" s="4" t="n"/>
    </row>
    <row r="717" ht="15.75" customHeight="1">
      <c r="C717" s="4" t="n"/>
      <c r="D717" s="4" t="n"/>
      <c r="E717" s="4" t="n"/>
      <c r="F717" s="4" t="n"/>
      <c r="G717" s="4" t="n"/>
    </row>
    <row r="718" ht="15.75" customHeight="1">
      <c r="C718" s="4" t="n"/>
      <c r="D718" s="4" t="n"/>
      <c r="E718" s="4" t="n"/>
      <c r="F718" s="4" t="n"/>
      <c r="G718" s="4" t="n"/>
    </row>
    <row r="719" ht="15.75" customHeight="1">
      <c r="C719" s="4" t="n"/>
      <c r="D719" s="4" t="n"/>
      <c r="E719" s="4" t="n"/>
      <c r="F719" s="4" t="n"/>
      <c r="G719" s="4" t="n"/>
    </row>
    <row r="720" ht="15.75" customHeight="1">
      <c r="C720" s="4" t="n"/>
      <c r="D720" s="4" t="n"/>
      <c r="E720" s="4" t="n"/>
      <c r="F720" s="4" t="n"/>
      <c r="G720" s="4" t="n"/>
    </row>
    <row r="721" ht="15.75" customHeight="1">
      <c r="C721" s="4" t="n"/>
      <c r="D721" s="4" t="n"/>
      <c r="E721" s="4" t="n"/>
      <c r="F721" s="4" t="n"/>
      <c r="G721" s="4" t="n"/>
    </row>
    <row r="722" ht="15.75" customHeight="1">
      <c r="C722" s="4" t="n"/>
      <c r="D722" s="4" t="n"/>
      <c r="E722" s="4" t="n"/>
      <c r="F722" s="4" t="n"/>
      <c r="G722" s="4" t="n"/>
    </row>
    <row r="723" ht="15.75" customHeight="1">
      <c r="C723" s="4" t="n"/>
      <c r="D723" s="4" t="n"/>
      <c r="E723" s="4" t="n"/>
      <c r="F723" s="4" t="n"/>
      <c r="G723" s="4" t="n"/>
    </row>
    <row r="724" ht="15.75" customHeight="1">
      <c r="C724" s="4" t="n"/>
      <c r="D724" s="4" t="n"/>
      <c r="E724" s="4" t="n"/>
      <c r="F724" s="4" t="n"/>
      <c r="G724" s="4" t="n"/>
    </row>
    <row r="725" ht="15.75" customHeight="1">
      <c r="C725" s="4" t="n"/>
      <c r="D725" s="4" t="n"/>
      <c r="E725" s="4" t="n"/>
      <c r="F725" s="4" t="n"/>
      <c r="G725" s="4" t="n"/>
    </row>
    <row r="726" ht="15.75" customHeight="1">
      <c r="C726" s="4" t="n"/>
      <c r="D726" s="4" t="n"/>
      <c r="E726" s="4" t="n"/>
      <c r="F726" s="4" t="n"/>
      <c r="G726" s="4" t="n"/>
    </row>
    <row r="727" ht="15.75" customHeight="1">
      <c r="C727" s="4" t="n"/>
      <c r="D727" s="4" t="n"/>
      <c r="E727" s="4" t="n"/>
      <c r="F727" s="4" t="n"/>
      <c r="G727" s="4" t="n"/>
    </row>
    <row r="728" ht="15.75" customHeight="1">
      <c r="C728" s="4" t="n"/>
      <c r="D728" s="4" t="n"/>
      <c r="E728" s="4" t="n"/>
      <c r="F728" s="4" t="n"/>
      <c r="G728" s="4" t="n"/>
    </row>
    <row r="729" ht="15.75" customHeight="1">
      <c r="C729" s="4" t="n"/>
      <c r="D729" s="4" t="n"/>
      <c r="E729" s="4" t="n"/>
      <c r="F729" s="4" t="n"/>
      <c r="G729" s="4" t="n"/>
    </row>
    <row r="730" ht="15.75" customHeight="1">
      <c r="C730" s="4" t="n"/>
      <c r="D730" s="4" t="n"/>
      <c r="E730" s="4" t="n"/>
      <c r="F730" s="4" t="n"/>
      <c r="G730" s="4" t="n"/>
    </row>
    <row r="731" ht="15.75" customHeight="1">
      <c r="C731" s="4" t="n"/>
      <c r="D731" s="4" t="n"/>
      <c r="E731" s="4" t="n"/>
      <c r="F731" s="4" t="n"/>
      <c r="G731" s="4" t="n"/>
    </row>
    <row r="732" ht="15.75" customHeight="1">
      <c r="C732" s="4" t="n"/>
      <c r="D732" s="4" t="n"/>
      <c r="E732" s="4" t="n"/>
      <c r="F732" s="4" t="n"/>
      <c r="G732" s="4" t="n"/>
    </row>
    <row r="733" ht="15.75" customHeight="1">
      <c r="C733" s="4" t="n"/>
      <c r="D733" s="4" t="n"/>
      <c r="E733" s="4" t="n"/>
      <c r="F733" s="4" t="n"/>
      <c r="G733" s="4" t="n"/>
    </row>
    <row r="734" ht="15.75" customHeight="1">
      <c r="C734" s="4" t="n"/>
      <c r="D734" s="4" t="n"/>
      <c r="E734" s="4" t="n"/>
      <c r="F734" s="4" t="n"/>
      <c r="G734" s="4" t="n"/>
    </row>
    <row r="735" ht="15.75" customHeight="1">
      <c r="C735" s="4" t="n"/>
      <c r="D735" s="4" t="n"/>
      <c r="E735" s="4" t="n"/>
      <c r="F735" s="4" t="n"/>
      <c r="G735" s="4" t="n"/>
    </row>
    <row r="736" ht="15.75" customHeight="1">
      <c r="C736" s="4" t="n"/>
      <c r="D736" s="4" t="n"/>
      <c r="E736" s="4" t="n"/>
      <c r="F736" s="4" t="n"/>
      <c r="G736" s="4" t="n"/>
    </row>
    <row r="737" ht="15.75" customHeight="1">
      <c r="C737" s="4" t="n"/>
      <c r="D737" s="4" t="n"/>
      <c r="E737" s="4" t="n"/>
      <c r="F737" s="4" t="n"/>
      <c r="G737" s="4" t="n"/>
    </row>
    <row r="738" ht="15.75" customHeight="1">
      <c r="C738" s="4" t="n"/>
      <c r="D738" s="4" t="n"/>
      <c r="E738" s="4" t="n"/>
      <c r="F738" s="4" t="n"/>
      <c r="G738" s="4" t="n"/>
    </row>
    <row r="739" ht="15.75" customHeight="1">
      <c r="C739" s="4" t="n"/>
      <c r="D739" s="4" t="n"/>
      <c r="E739" s="4" t="n"/>
      <c r="F739" s="4" t="n"/>
      <c r="G739" s="4" t="n"/>
    </row>
    <row r="740" ht="15.75" customHeight="1">
      <c r="C740" s="4" t="n"/>
      <c r="D740" s="4" t="n"/>
      <c r="E740" s="4" t="n"/>
      <c r="F740" s="4" t="n"/>
      <c r="G740" s="4" t="n"/>
    </row>
    <row r="741" ht="15.75" customHeight="1">
      <c r="C741" s="4" t="n"/>
      <c r="D741" s="4" t="n"/>
      <c r="E741" s="4" t="n"/>
      <c r="F741" s="4" t="n"/>
      <c r="G741" s="4" t="n"/>
    </row>
    <row r="742" ht="15.75" customHeight="1">
      <c r="C742" s="4" t="n"/>
      <c r="D742" s="4" t="n"/>
      <c r="E742" s="4" t="n"/>
      <c r="F742" s="4" t="n"/>
      <c r="G742" s="4" t="n"/>
    </row>
    <row r="743" ht="15.75" customHeight="1">
      <c r="C743" s="4" t="n"/>
      <c r="D743" s="4" t="n"/>
      <c r="E743" s="4" t="n"/>
      <c r="F743" s="4" t="n"/>
      <c r="G743" s="4" t="n"/>
    </row>
    <row r="744" ht="15.75" customHeight="1">
      <c r="C744" s="4" t="n"/>
      <c r="D744" s="4" t="n"/>
      <c r="E744" s="4" t="n"/>
      <c r="F744" s="4" t="n"/>
      <c r="G744" s="4" t="n"/>
    </row>
    <row r="745" ht="15.75" customHeight="1">
      <c r="C745" s="4" t="n"/>
      <c r="D745" s="4" t="n"/>
      <c r="E745" s="4" t="n"/>
      <c r="F745" s="4" t="n"/>
      <c r="G745" s="4" t="n"/>
    </row>
    <row r="746" ht="15.75" customHeight="1">
      <c r="C746" s="4" t="n"/>
      <c r="D746" s="4" t="n"/>
      <c r="E746" s="4" t="n"/>
      <c r="F746" s="4" t="n"/>
      <c r="G746" s="4" t="n"/>
    </row>
    <row r="747" ht="15.75" customHeight="1">
      <c r="C747" s="4" t="n"/>
      <c r="D747" s="4" t="n"/>
      <c r="E747" s="4" t="n"/>
      <c r="F747" s="4" t="n"/>
      <c r="G747" s="4" t="n"/>
    </row>
    <row r="748" ht="15.75" customHeight="1">
      <c r="C748" s="4" t="n"/>
      <c r="D748" s="4" t="n"/>
      <c r="E748" s="4" t="n"/>
      <c r="F748" s="4" t="n"/>
      <c r="G748" s="4" t="n"/>
    </row>
    <row r="749" ht="15.75" customHeight="1">
      <c r="C749" s="4" t="n"/>
      <c r="D749" s="4" t="n"/>
      <c r="E749" s="4" t="n"/>
      <c r="F749" s="4" t="n"/>
      <c r="G749" s="4" t="n"/>
    </row>
    <row r="750" ht="15.75" customHeight="1">
      <c r="C750" s="4" t="n"/>
      <c r="D750" s="4" t="n"/>
      <c r="E750" s="4" t="n"/>
      <c r="F750" s="4" t="n"/>
      <c r="G750" s="4" t="n"/>
    </row>
    <row r="751" ht="15.75" customHeight="1">
      <c r="C751" s="4" t="n"/>
      <c r="D751" s="4" t="n"/>
      <c r="E751" s="4" t="n"/>
      <c r="F751" s="4" t="n"/>
      <c r="G751" s="4" t="n"/>
    </row>
    <row r="752" ht="15.75" customHeight="1">
      <c r="C752" s="4" t="n"/>
      <c r="D752" s="4" t="n"/>
      <c r="E752" s="4" t="n"/>
      <c r="F752" s="4" t="n"/>
      <c r="G752" s="4" t="n"/>
    </row>
    <row r="753" ht="15.75" customHeight="1">
      <c r="C753" s="4" t="n"/>
      <c r="D753" s="4" t="n"/>
      <c r="E753" s="4" t="n"/>
      <c r="F753" s="4" t="n"/>
      <c r="G753" s="4" t="n"/>
    </row>
    <row r="754" ht="15.75" customHeight="1">
      <c r="C754" s="4" t="n"/>
      <c r="D754" s="4" t="n"/>
      <c r="E754" s="4" t="n"/>
      <c r="F754" s="4" t="n"/>
      <c r="G754" s="4" t="n"/>
    </row>
    <row r="755" ht="15.75" customHeight="1">
      <c r="C755" s="4" t="n"/>
      <c r="D755" s="4" t="n"/>
      <c r="E755" s="4" t="n"/>
      <c r="F755" s="4" t="n"/>
      <c r="G755" s="4" t="n"/>
    </row>
    <row r="756" ht="15.75" customHeight="1">
      <c r="C756" s="4" t="n"/>
      <c r="D756" s="4" t="n"/>
      <c r="E756" s="4" t="n"/>
      <c r="F756" s="4" t="n"/>
      <c r="G756" s="4" t="n"/>
    </row>
    <row r="757" ht="15.75" customHeight="1">
      <c r="C757" s="4" t="n"/>
      <c r="D757" s="4" t="n"/>
      <c r="E757" s="4" t="n"/>
      <c r="F757" s="4" t="n"/>
      <c r="G757" s="4" t="n"/>
    </row>
    <row r="758" ht="15.75" customHeight="1">
      <c r="C758" s="4" t="n"/>
      <c r="D758" s="4" t="n"/>
      <c r="E758" s="4" t="n"/>
      <c r="F758" s="4" t="n"/>
      <c r="G758" s="4" t="n"/>
    </row>
    <row r="759" ht="15.75" customHeight="1">
      <c r="C759" s="4" t="n"/>
      <c r="D759" s="4" t="n"/>
      <c r="E759" s="4" t="n"/>
      <c r="F759" s="4" t="n"/>
      <c r="G759" s="4" t="n"/>
    </row>
    <row r="760" ht="15.75" customHeight="1">
      <c r="C760" s="4" t="n"/>
      <c r="D760" s="4" t="n"/>
      <c r="E760" s="4" t="n"/>
      <c r="F760" s="4" t="n"/>
      <c r="G760" s="4" t="n"/>
    </row>
    <row r="761" ht="15.75" customHeight="1">
      <c r="C761" s="4" t="n"/>
      <c r="D761" s="4" t="n"/>
      <c r="E761" s="4" t="n"/>
      <c r="F761" s="4" t="n"/>
      <c r="G761" s="4" t="n"/>
    </row>
    <row r="762" ht="15.75" customHeight="1">
      <c r="C762" s="4" t="n"/>
      <c r="D762" s="4" t="n"/>
      <c r="E762" s="4" t="n"/>
      <c r="F762" s="4" t="n"/>
      <c r="G762" s="4" t="n"/>
    </row>
    <row r="763" ht="15.75" customHeight="1">
      <c r="C763" s="4" t="n"/>
      <c r="D763" s="4" t="n"/>
      <c r="E763" s="4" t="n"/>
      <c r="F763" s="4" t="n"/>
      <c r="G763" s="4" t="n"/>
    </row>
    <row r="764" ht="15.75" customHeight="1">
      <c r="C764" s="4" t="n"/>
      <c r="D764" s="4" t="n"/>
      <c r="E764" s="4" t="n"/>
      <c r="F764" s="4" t="n"/>
      <c r="G764" s="4" t="n"/>
    </row>
    <row r="765" ht="15.75" customHeight="1">
      <c r="C765" s="4" t="n"/>
      <c r="D765" s="4" t="n"/>
      <c r="E765" s="4" t="n"/>
      <c r="F765" s="4" t="n"/>
      <c r="G765" s="4" t="n"/>
    </row>
    <row r="766" ht="15.75" customHeight="1">
      <c r="C766" s="4" t="n"/>
      <c r="D766" s="4" t="n"/>
      <c r="E766" s="4" t="n"/>
      <c r="F766" s="4" t="n"/>
      <c r="G766" s="4" t="n"/>
    </row>
    <row r="767" ht="15.75" customHeight="1">
      <c r="C767" s="4" t="n"/>
      <c r="D767" s="4" t="n"/>
      <c r="E767" s="4" t="n"/>
      <c r="F767" s="4" t="n"/>
      <c r="G767" s="4" t="n"/>
    </row>
    <row r="768" ht="15.75" customHeight="1">
      <c r="C768" s="4" t="n"/>
      <c r="D768" s="4" t="n"/>
      <c r="E768" s="4" t="n"/>
      <c r="F768" s="4" t="n"/>
      <c r="G768" s="4" t="n"/>
    </row>
    <row r="769" ht="15.75" customHeight="1">
      <c r="C769" s="4" t="n"/>
      <c r="D769" s="4" t="n"/>
      <c r="E769" s="4" t="n"/>
      <c r="F769" s="4" t="n"/>
      <c r="G769" s="4" t="n"/>
    </row>
    <row r="770" ht="15.75" customHeight="1">
      <c r="C770" s="4" t="n"/>
      <c r="D770" s="4" t="n"/>
      <c r="E770" s="4" t="n"/>
      <c r="F770" s="4" t="n"/>
      <c r="G770" s="4" t="n"/>
    </row>
    <row r="771" ht="15.75" customHeight="1">
      <c r="C771" s="4" t="n"/>
      <c r="D771" s="4" t="n"/>
      <c r="E771" s="4" t="n"/>
      <c r="F771" s="4" t="n"/>
      <c r="G771" s="4" t="n"/>
    </row>
    <row r="772" ht="15.75" customHeight="1">
      <c r="C772" s="4" t="n"/>
      <c r="D772" s="4" t="n"/>
      <c r="E772" s="4" t="n"/>
      <c r="F772" s="4" t="n"/>
      <c r="G772" s="4" t="n"/>
    </row>
    <row r="773" ht="15.75" customHeight="1">
      <c r="C773" s="4" t="n"/>
      <c r="D773" s="4" t="n"/>
      <c r="E773" s="4" t="n"/>
      <c r="F773" s="4" t="n"/>
      <c r="G773" s="4" t="n"/>
    </row>
    <row r="774" ht="15.75" customHeight="1">
      <c r="C774" s="4" t="n"/>
      <c r="D774" s="4" t="n"/>
      <c r="E774" s="4" t="n"/>
      <c r="F774" s="4" t="n"/>
      <c r="G774" s="4" t="n"/>
    </row>
    <row r="775" ht="15.75" customHeight="1">
      <c r="C775" s="4" t="n"/>
      <c r="D775" s="4" t="n"/>
      <c r="E775" s="4" t="n"/>
      <c r="F775" s="4" t="n"/>
      <c r="G775" s="4" t="n"/>
    </row>
    <row r="776" ht="15.75" customHeight="1">
      <c r="C776" s="4" t="n"/>
      <c r="D776" s="4" t="n"/>
      <c r="E776" s="4" t="n"/>
      <c r="F776" s="4" t="n"/>
      <c r="G776" s="4" t="n"/>
    </row>
    <row r="777" ht="15.75" customHeight="1">
      <c r="C777" s="4" t="n"/>
      <c r="D777" s="4" t="n"/>
      <c r="E777" s="4" t="n"/>
      <c r="F777" s="4" t="n"/>
      <c r="G777" s="4" t="n"/>
    </row>
    <row r="778" ht="15.75" customHeight="1">
      <c r="C778" s="4" t="n"/>
      <c r="D778" s="4" t="n"/>
      <c r="E778" s="4" t="n"/>
      <c r="F778" s="4" t="n"/>
      <c r="G778" s="4" t="n"/>
    </row>
    <row r="779" ht="15.75" customHeight="1">
      <c r="C779" s="4" t="n"/>
      <c r="D779" s="4" t="n"/>
      <c r="E779" s="4" t="n"/>
      <c r="F779" s="4" t="n"/>
      <c r="G779" s="4" t="n"/>
    </row>
    <row r="780" ht="15.75" customHeight="1">
      <c r="C780" s="4" t="n"/>
      <c r="D780" s="4" t="n"/>
      <c r="E780" s="4" t="n"/>
      <c r="F780" s="4" t="n"/>
      <c r="G780" s="4" t="n"/>
    </row>
    <row r="781" ht="15.75" customHeight="1">
      <c r="C781" s="4" t="n"/>
      <c r="D781" s="4" t="n"/>
      <c r="E781" s="4" t="n"/>
      <c r="F781" s="4" t="n"/>
      <c r="G781" s="4" t="n"/>
    </row>
    <row r="782" ht="15.75" customHeight="1">
      <c r="C782" s="4" t="n"/>
      <c r="D782" s="4" t="n"/>
      <c r="E782" s="4" t="n"/>
      <c r="F782" s="4" t="n"/>
      <c r="G782" s="4" t="n"/>
    </row>
    <row r="783" ht="15.75" customHeight="1">
      <c r="C783" s="4" t="n"/>
      <c r="D783" s="4" t="n"/>
      <c r="E783" s="4" t="n"/>
      <c r="F783" s="4" t="n"/>
      <c r="G783" s="4" t="n"/>
    </row>
    <row r="784" ht="15.75" customHeight="1">
      <c r="C784" s="4" t="n"/>
      <c r="D784" s="4" t="n"/>
      <c r="E784" s="4" t="n"/>
      <c r="F784" s="4" t="n"/>
      <c r="G784" s="4" t="n"/>
    </row>
    <row r="785" ht="15.75" customHeight="1">
      <c r="C785" s="4" t="n"/>
      <c r="D785" s="4" t="n"/>
      <c r="E785" s="4" t="n"/>
      <c r="F785" s="4" t="n"/>
      <c r="G785" s="4" t="n"/>
    </row>
    <row r="786" ht="15.75" customHeight="1">
      <c r="C786" s="4" t="n"/>
      <c r="D786" s="4" t="n"/>
      <c r="E786" s="4" t="n"/>
      <c r="F786" s="4" t="n"/>
      <c r="G786" s="4" t="n"/>
    </row>
    <row r="787" ht="15.75" customHeight="1">
      <c r="C787" s="4" t="n"/>
      <c r="D787" s="4" t="n"/>
      <c r="E787" s="4" t="n"/>
      <c r="F787" s="4" t="n"/>
      <c r="G787" s="4" t="n"/>
    </row>
    <row r="788" ht="15.75" customHeight="1">
      <c r="C788" s="4" t="n"/>
      <c r="D788" s="4" t="n"/>
      <c r="E788" s="4" t="n"/>
      <c r="F788" s="4" t="n"/>
      <c r="G788" s="4" t="n"/>
    </row>
    <row r="789" ht="15.75" customHeight="1">
      <c r="C789" s="4" t="n"/>
      <c r="D789" s="4" t="n"/>
      <c r="E789" s="4" t="n"/>
      <c r="F789" s="4" t="n"/>
      <c r="G789" s="4" t="n"/>
    </row>
    <row r="790" ht="15.75" customHeight="1">
      <c r="C790" s="4" t="n"/>
      <c r="D790" s="4" t="n"/>
      <c r="E790" s="4" t="n"/>
      <c r="F790" s="4" t="n"/>
      <c r="G790" s="4" t="n"/>
    </row>
    <row r="791" ht="15.75" customHeight="1">
      <c r="C791" s="4" t="n"/>
      <c r="D791" s="4" t="n"/>
      <c r="E791" s="4" t="n"/>
      <c r="F791" s="4" t="n"/>
      <c r="G791" s="4" t="n"/>
    </row>
    <row r="792" ht="15.75" customHeight="1">
      <c r="C792" s="4" t="n"/>
      <c r="D792" s="4" t="n"/>
      <c r="E792" s="4" t="n"/>
      <c r="F792" s="4" t="n"/>
      <c r="G792" s="4" t="n"/>
    </row>
    <row r="793" ht="15.75" customHeight="1">
      <c r="C793" s="4" t="n"/>
      <c r="D793" s="4" t="n"/>
      <c r="E793" s="4" t="n"/>
      <c r="F793" s="4" t="n"/>
      <c r="G793" s="4" t="n"/>
    </row>
    <row r="794" ht="15.75" customHeight="1">
      <c r="C794" s="4" t="n"/>
      <c r="D794" s="4" t="n"/>
      <c r="E794" s="4" t="n"/>
      <c r="F794" s="4" t="n"/>
      <c r="G794" s="4" t="n"/>
    </row>
    <row r="795" ht="15.75" customHeight="1">
      <c r="C795" s="4" t="n"/>
      <c r="D795" s="4" t="n"/>
      <c r="E795" s="4" t="n"/>
      <c r="F795" s="4" t="n"/>
      <c r="G795" s="4" t="n"/>
    </row>
    <row r="796" ht="15.75" customHeight="1">
      <c r="C796" s="4" t="n"/>
      <c r="D796" s="4" t="n"/>
      <c r="E796" s="4" t="n"/>
      <c r="F796" s="4" t="n"/>
      <c r="G796" s="4" t="n"/>
    </row>
    <row r="797" ht="15.75" customHeight="1">
      <c r="C797" s="4" t="n"/>
      <c r="D797" s="4" t="n"/>
      <c r="E797" s="4" t="n"/>
      <c r="F797" s="4" t="n"/>
      <c r="G797" s="4" t="n"/>
    </row>
    <row r="798" ht="15.75" customHeight="1">
      <c r="C798" s="4" t="n"/>
      <c r="D798" s="4" t="n"/>
      <c r="E798" s="4" t="n"/>
      <c r="F798" s="4" t="n"/>
      <c r="G798" s="4" t="n"/>
    </row>
    <row r="799" ht="15.75" customHeight="1">
      <c r="C799" s="4" t="n"/>
      <c r="D799" s="4" t="n"/>
      <c r="E799" s="4" t="n"/>
      <c r="F799" s="4" t="n"/>
      <c r="G799" s="4" t="n"/>
    </row>
    <row r="800" ht="15.75" customHeight="1">
      <c r="C800" s="4" t="n"/>
      <c r="D800" s="4" t="n"/>
      <c r="E800" s="4" t="n"/>
      <c r="F800" s="4" t="n"/>
      <c r="G800" s="4" t="n"/>
    </row>
    <row r="801" ht="15.75" customHeight="1">
      <c r="C801" s="4" t="n"/>
      <c r="D801" s="4" t="n"/>
      <c r="E801" s="4" t="n"/>
      <c r="F801" s="4" t="n"/>
      <c r="G801" s="4" t="n"/>
    </row>
    <row r="802" ht="15.75" customHeight="1">
      <c r="C802" s="4" t="n"/>
      <c r="D802" s="4" t="n"/>
      <c r="E802" s="4" t="n"/>
      <c r="F802" s="4" t="n"/>
      <c r="G802" s="4" t="n"/>
    </row>
    <row r="803" ht="15.75" customHeight="1">
      <c r="C803" s="4" t="n"/>
      <c r="D803" s="4" t="n"/>
      <c r="E803" s="4" t="n"/>
      <c r="F803" s="4" t="n"/>
      <c r="G803" s="4" t="n"/>
    </row>
    <row r="804" ht="15.75" customHeight="1">
      <c r="C804" s="4" t="n"/>
      <c r="D804" s="4" t="n"/>
      <c r="E804" s="4" t="n"/>
      <c r="F804" s="4" t="n"/>
      <c r="G804" s="4" t="n"/>
    </row>
    <row r="805" ht="15.75" customHeight="1">
      <c r="C805" s="4" t="n"/>
      <c r="D805" s="4" t="n"/>
      <c r="E805" s="4" t="n"/>
      <c r="F805" s="4" t="n"/>
      <c r="G805" s="4" t="n"/>
    </row>
    <row r="806" ht="15.75" customHeight="1">
      <c r="C806" s="4" t="n"/>
      <c r="D806" s="4" t="n"/>
      <c r="E806" s="4" t="n"/>
      <c r="F806" s="4" t="n"/>
      <c r="G806" s="4" t="n"/>
    </row>
    <row r="807" ht="15.75" customHeight="1">
      <c r="C807" s="4" t="n"/>
      <c r="D807" s="4" t="n"/>
      <c r="E807" s="4" t="n"/>
      <c r="F807" s="4" t="n"/>
      <c r="G807" s="4" t="n"/>
    </row>
    <row r="808" ht="15.75" customHeight="1">
      <c r="C808" s="4" t="n"/>
      <c r="D808" s="4" t="n"/>
      <c r="E808" s="4" t="n"/>
      <c r="F808" s="4" t="n"/>
      <c r="G808" s="4" t="n"/>
    </row>
    <row r="809" ht="15.75" customHeight="1">
      <c r="C809" s="4" t="n"/>
      <c r="D809" s="4" t="n"/>
      <c r="E809" s="4" t="n"/>
      <c r="F809" s="4" t="n"/>
      <c r="G809" s="4" t="n"/>
    </row>
    <row r="810" ht="15.75" customHeight="1">
      <c r="C810" s="4" t="n"/>
      <c r="D810" s="4" t="n"/>
      <c r="E810" s="4" t="n"/>
      <c r="F810" s="4" t="n"/>
      <c r="G810" s="4" t="n"/>
    </row>
    <row r="811" ht="15.75" customHeight="1">
      <c r="C811" s="4" t="n"/>
      <c r="D811" s="4" t="n"/>
      <c r="E811" s="4" t="n"/>
      <c r="F811" s="4" t="n"/>
      <c r="G811" s="4" t="n"/>
    </row>
    <row r="812" ht="15.75" customHeight="1">
      <c r="C812" s="4" t="n"/>
      <c r="D812" s="4" t="n"/>
      <c r="E812" s="4" t="n"/>
      <c r="F812" s="4" t="n"/>
      <c r="G812" s="4" t="n"/>
    </row>
    <row r="813" ht="15.75" customHeight="1">
      <c r="C813" s="4" t="n"/>
      <c r="D813" s="4" t="n"/>
      <c r="E813" s="4" t="n"/>
      <c r="F813" s="4" t="n"/>
      <c r="G813" s="4" t="n"/>
    </row>
    <row r="814" ht="15.75" customHeight="1">
      <c r="C814" s="4" t="n"/>
      <c r="D814" s="4" t="n"/>
      <c r="E814" s="4" t="n"/>
      <c r="F814" s="4" t="n"/>
      <c r="G814" s="4" t="n"/>
    </row>
    <row r="815" ht="15.75" customHeight="1">
      <c r="C815" s="4" t="n"/>
      <c r="D815" s="4" t="n"/>
      <c r="E815" s="4" t="n"/>
      <c r="F815" s="4" t="n"/>
      <c r="G815" s="4" t="n"/>
    </row>
    <row r="816" ht="15.75" customHeight="1">
      <c r="C816" s="4" t="n"/>
      <c r="D816" s="4" t="n"/>
      <c r="E816" s="4" t="n"/>
      <c r="F816" s="4" t="n"/>
      <c r="G816" s="4" t="n"/>
    </row>
    <row r="817" ht="15.75" customHeight="1">
      <c r="C817" s="4" t="n"/>
      <c r="D817" s="4" t="n"/>
      <c r="E817" s="4" t="n"/>
      <c r="F817" s="4" t="n"/>
      <c r="G817" s="4" t="n"/>
    </row>
    <row r="818" ht="15.75" customHeight="1">
      <c r="C818" s="4" t="n"/>
      <c r="D818" s="4" t="n"/>
      <c r="E818" s="4" t="n"/>
      <c r="F818" s="4" t="n"/>
      <c r="G818" s="4" t="n"/>
    </row>
    <row r="819" ht="15.75" customHeight="1">
      <c r="C819" s="4" t="n"/>
      <c r="D819" s="4" t="n"/>
      <c r="E819" s="4" t="n"/>
      <c r="F819" s="4" t="n"/>
      <c r="G819" s="4" t="n"/>
    </row>
    <row r="820" ht="15.75" customHeight="1">
      <c r="C820" s="4" t="n"/>
      <c r="D820" s="4" t="n"/>
      <c r="E820" s="4" t="n"/>
      <c r="F820" s="4" t="n"/>
      <c r="G820" s="4" t="n"/>
    </row>
    <row r="821" ht="15.75" customHeight="1">
      <c r="C821" s="4" t="n"/>
      <c r="D821" s="4" t="n"/>
      <c r="E821" s="4" t="n"/>
      <c r="F821" s="4" t="n"/>
      <c r="G821" s="4" t="n"/>
    </row>
    <row r="822" ht="15.75" customHeight="1">
      <c r="C822" s="4" t="n"/>
      <c r="D822" s="4" t="n"/>
      <c r="E822" s="4" t="n"/>
      <c r="F822" s="4" t="n"/>
      <c r="G822" s="4" t="n"/>
    </row>
    <row r="823" ht="15.75" customHeight="1">
      <c r="C823" s="4" t="n"/>
      <c r="D823" s="4" t="n"/>
      <c r="E823" s="4" t="n"/>
      <c r="F823" s="4" t="n"/>
      <c r="G823" s="4" t="n"/>
    </row>
    <row r="824" ht="15.75" customHeight="1">
      <c r="C824" s="4" t="n"/>
      <c r="D824" s="4" t="n"/>
      <c r="E824" s="4" t="n"/>
      <c r="F824" s="4" t="n"/>
      <c r="G824" s="4" t="n"/>
    </row>
    <row r="825" ht="15.75" customHeight="1">
      <c r="C825" s="4" t="n"/>
      <c r="D825" s="4" t="n"/>
      <c r="E825" s="4" t="n"/>
      <c r="F825" s="4" t="n"/>
      <c r="G825" s="4" t="n"/>
    </row>
    <row r="826" ht="15.75" customHeight="1">
      <c r="C826" s="4" t="n"/>
      <c r="D826" s="4" t="n"/>
      <c r="E826" s="4" t="n"/>
      <c r="F826" s="4" t="n"/>
      <c r="G826" s="4" t="n"/>
    </row>
    <row r="827" ht="15.75" customHeight="1">
      <c r="C827" s="4" t="n"/>
      <c r="D827" s="4" t="n"/>
      <c r="E827" s="4" t="n"/>
      <c r="F827" s="4" t="n"/>
      <c r="G827" s="4" t="n"/>
    </row>
    <row r="828" ht="15.75" customHeight="1">
      <c r="C828" s="4" t="n"/>
      <c r="D828" s="4" t="n"/>
      <c r="E828" s="4" t="n"/>
      <c r="F828" s="4" t="n"/>
      <c r="G828" s="4" t="n"/>
    </row>
    <row r="829" ht="15.75" customHeight="1">
      <c r="C829" s="4" t="n"/>
      <c r="D829" s="4" t="n"/>
      <c r="E829" s="4" t="n"/>
      <c r="F829" s="4" t="n"/>
      <c r="G829" s="4" t="n"/>
    </row>
    <row r="830" ht="15.75" customHeight="1">
      <c r="C830" s="4" t="n"/>
      <c r="D830" s="4" t="n"/>
      <c r="E830" s="4" t="n"/>
      <c r="F830" s="4" t="n"/>
      <c r="G830" s="4" t="n"/>
    </row>
    <row r="831" ht="15.75" customHeight="1">
      <c r="C831" s="4" t="n"/>
      <c r="D831" s="4" t="n"/>
      <c r="E831" s="4" t="n"/>
      <c r="F831" s="4" t="n"/>
      <c r="G831" s="4" t="n"/>
    </row>
    <row r="832" ht="15.75" customHeight="1">
      <c r="C832" s="4" t="n"/>
      <c r="D832" s="4" t="n"/>
      <c r="E832" s="4" t="n"/>
      <c r="F832" s="4" t="n"/>
      <c r="G832" s="4" t="n"/>
    </row>
    <row r="833" ht="15.75" customHeight="1">
      <c r="C833" s="4" t="n"/>
      <c r="D833" s="4" t="n"/>
      <c r="E833" s="4" t="n"/>
      <c r="F833" s="4" t="n"/>
      <c r="G833" s="4" t="n"/>
    </row>
    <row r="834" ht="15.75" customHeight="1">
      <c r="C834" s="4" t="n"/>
      <c r="D834" s="4" t="n"/>
      <c r="E834" s="4" t="n"/>
      <c r="F834" s="4" t="n"/>
      <c r="G834" s="4" t="n"/>
    </row>
    <row r="835" ht="15.75" customHeight="1">
      <c r="C835" s="4" t="n"/>
      <c r="D835" s="4" t="n"/>
      <c r="E835" s="4" t="n"/>
      <c r="F835" s="4" t="n"/>
      <c r="G835" s="4" t="n"/>
    </row>
    <row r="836" ht="15.75" customHeight="1">
      <c r="C836" s="4" t="n"/>
      <c r="D836" s="4" t="n"/>
      <c r="E836" s="4" t="n"/>
      <c r="F836" s="4" t="n"/>
      <c r="G836" s="4" t="n"/>
    </row>
    <row r="837" ht="15.75" customHeight="1">
      <c r="C837" s="4" t="n"/>
      <c r="D837" s="4" t="n"/>
      <c r="E837" s="4" t="n"/>
      <c r="F837" s="4" t="n"/>
      <c r="G837" s="4" t="n"/>
    </row>
    <row r="838" ht="15.75" customHeight="1">
      <c r="C838" s="4" t="n"/>
      <c r="D838" s="4" t="n"/>
      <c r="E838" s="4" t="n"/>
      <c r="F838" s="4" t="n"/>
      <c r="G838" s="4" t="n"/>
    </row>
    <row r="839" ht="15.75" customHeight="1">
      <c r="C839" s="4" t="n"/>
      <c r="D839" s="4" t="n"/>
      <c r="E839" s="4" t="n"/>
      <c r="F839" s="4" t="n"/>
      <c r="G839" s="4" t="n"/>
    </row>
    <row r="840" ht="15.75" customHeight="1">
      <c r="C840" s="4" t="n"/>
      <c r="D840" s="4" t="n"/>
      <c r="E840" s="4" t="n"/>
      <c r="F840" s="4" t="n"/>
      <c r="G840" s="4" t="n"/>
    </row>
    <row r="841" ht="15.75" customHeight="1">
      <c r="C841" s="4" t="n"/>
      <c r="D841" s="4" t="n"/>
      <c r="E841" s="4" t="n"/>
      <c r="F841" s="4" t="n"/>
      <c r="G841" s="4" t="n"/>
    </row>
    <row r="842" ht="15.75" customHeight="1">
      <c r="C842" s="4" t="n"/>
      <c r="D842" s="4" t="n"/>
      <c r="E842" s="4" t="n"/>
      <c r="F842" s="4" t="n"/>
      <c r="G842" s="4" t="n"/>
    </row>
    <row r="843" ht="15.75" customHeight="1">
      <c r="C843" s="4" t="n"/>
      <c r="D843" s="4" t="n"/>
      <c r="E843" s="4" t="n"/>
      <c r="F843" s="4" t="n"/>
      <c r="G843" s="4" t="n"/>
    </row>
    <row r="844" ht="15.75" customHeight="1">
      <c r="C844" s="4" t="n"/>
      <c r="D844" s="4" t="n"/>
      <c r="E844" s="4" t="n"/>
      <c r="F844" s="4" t="n"/>
      <c r="G844" s="4" t="n"/>
    </row>
    <row r="845" ht="15.75" customHeight="1">
      <c r="C845" s="4" t="n"/>
      <c r="D845" s="4" t="n"/>
      <c r="E845" s="4" t="n"/>
      <c r="F845" s="4" t="n"/>
      <c r="G845" s="4" t="n"/>
    </row>
    <row r="846" ht="15.75" customHeight="1">
      <c r="C846" s="4" t="n"/>
      <c r="D846" s="4" t="n"/>
      <c r="E846" s="4" t="n"/>
      <c r="F846" s="4" t="n"/>
      <c r="G846" s="4" t="n"/>
    </row>
    <row r="847" ht="15.75" customHeight="1">
      <c r="C847" s="4" t="n"/>
      <c r="D847" s="4" t="n"/>
      <c r="E847" s="4" t="n"/>
      <c r="F847" s="4" t="n"/>
      <c r="G847" s="4" t="n"/>
    </row>
    <row r="848" ht="15.75" customHeight="1">
      <c r="C848" s="4" t="n"/>
      <c r="D848" s="4" t="n"/>
      <c r="E848" s="4" t="n"/>
      <c r="F848" s="4" t="n"/>
      <c r="G848" s="4" t="n"/>
    </row>
    <row r="849" ht="15.75" customHeight="1">
      <c r="C849" s="4" t="n"/>
      <c r="D849" s="4" t="n"/>
      <c r="E849" s="4" t="n"/>
      <c r="F849" s="4" t="n"/>
      <c r="G849" s="4" t="n"/>
    </row>
    <row r="850" ht="15.75" customHeight="1">
      <c r="C850" s="4" t="n"/>
      <c r="D850" s="4" t="n"/>
      <c r="E850" s="4" t="n"/>
      <c r="F850" s="4" t="n"/>
      <c r="G850" s="4" t="n"/>
    </row>
    <row r="851" ht="15.75" customHeight="1">
      <c r="C851" s="4" t="n"/>
      <c r="D851" s="4" t="n"/>
      <c r="E851" s="4" t="n"/>
      <c r="F851" s="4" t="n"/>
      <c r="G851" s="4" t="n"/>
    </row>
    <row r="852" ht="15.75" customHeight="1">
      <c r="C852" s="4" t="n"/>
      <c r="D852" s="4" t="n"/>
      <c r="E852" s="4" t="n"/>
      <c r="F852" s="4" t="n"/>
      <c r="G852" s="4" t="n"/>
    </row>
    <row r="853" ht="15.75" customHeight="1">
      <c r="C853" s="4" t="n"/>
      <c r="D853" s="4" t="n"/>
      <c r="E853" s="4" t="n"/>
      <c r="F853" s="4" t="n"/>
      <c r="G853" s="4" t="n"/>
    </row>
    <row r="854" ht="15.75" customHeight="1">
      <c r="C854" s="4" t="n"/>
      <c r="D854" s="4" t="n"/>
      <c r="E854" s="4" t="n"/>
      <c r="F854" s="4" t="n"/>
      <c r="G854" s="4" t="n"/>
    </row>
    <row r="855" ht="15.75" customHeight="1">
      <c r="C855" s="4" t="n"/>
      <c r="D855" s="4" t="n"/>
      <c r="E855" s="4" t="n"/>
      <c r="F855" s="4" t="n"/>
      <c r="G855" s="4" t="n"/>
    </row>
    <row r="856" ht="15.75" customHeight="1">
      <c r="C856" s="4" t="n"/>
      <c r="D856" s="4" t="n"/>
      <c r="E856" s="4" t="n"/>
      <c r="F856" s="4" t="n"/>
      <c r="G856" s="4" t="n"/>
    </row>
    <row r="857" ht="15.75" customHeight="1">
      <c r="C857" s="4" t="n"/>
      <c r="D857" s="4" t="n"/>
      <c r="E857" s="4" t="n"/>
      <c r="F857" s="4" t="n"/>
      <c r="G857" s="4" t="n"/>
    </row>
    <row r="858" ht="15.75" customHeight="1">
      <c r="C858" s="4" t="n"/>
      <c r="D858" s="4" t="n"/>
      <c r="E858" s="4" t="n"/>
      <c r="F858" s="4" t="n"/>
      <c r="G858" s="4" t="n"/>
    </row>
    <row r="859" ht="15.75" customHeight="1">
      <c r="C859" s="4" t="n"/>
      <c r="D859" s="4" t="n"/>
      <c r="E859" s="4" t="n"/>
      <c r="F859" s="4" t="n"/>
      <c r="G859" s="4" t="n"/>
    </row>
    <row r="860" ht="15.75" customHeight="1">
      <c r="C860" s="4" t="n"/>
      <c r="D860" s="4" t="n"/>
      <c r="E860" s="4" t="n"/>
      <c r="F860" s="4" t="n"/>
      <c r="G860" s="4" t="n"/>
    </row>
    <row r="861" ht="15.75" customHeight="1">
      <c r="C861" s="4" t="n"/>
      <c r="D861" s="4" t="n"/>
      <c r="E861" s="4" t="n"/>
      <c r="F861" s="4" t="n"/>
      <c r="G861" s="4" t="n"/>
    </row>
    <row r="862" ht="15.75" customHeight="1">
      <c r="C862" s="4" t="n"/>
      <c r="D862" s="4" t="n"/>
      <c r="E862" s="4" t="n"/>
      <c r="F862" s="4" t="n"/>
      <c r="G862" s="4" t="n"/>
    </row>
    <row r="863" ht="15.75" customHeight="1">
      <c r="C863" s="4" t="n"/>
      <c r="D863" s="4" t="n"/>
      <c r="E863" s="4" t="n"/>
      <c r="F863" s="4" t="n"/>
      <c r="G863" s="4" t="n"/>
    </row>
    <row r="864" ht="15.75" customHeight="1">
      <c r="C864" s="4" t="n"/>
      <c r="D864" s="4" t="n"/>
      <c r="E864" s="4" t="n"/>
      <c r="F864" s="4" t="n"/>
      <c r="G864" s="4" t="n"/>
    </row>
    <row r="865" ht="15.75" customHeight="1">
      <c r="C865" s="4" t="n"/>
      <c r="D865" s="4" t="n"/>
      <c r="E865" s="4" t="n"/>
      <c r="F865" s="4" t="n"/>
      <c r="G865" s="4" t="n"/>
    </row>
    <row r="866" ht="15.75" customHeight="1">
      <c r="C866" s="4" t="n"/>
      <c r="D866" s="4" t="n"/>
      <c r="E866" s="4" t="n"/>
      <c r="F866" s="4" t="n"/>
      <c r="G866" s="4" t="n"/>
    </row>
    <row r="867" ht="15.75" customHeight="1">
      <c r="C867" s="4" t="n"/>
      <c r="D867" s="4" t="n"/>
      <c r="E867" s="4" t="n"/>
      <c r="F867" s="4" t="n"/>
      <c r="G867" s="4" t="n"/>
    </row>
    <row r="868" ht="15.75" customHeight="1">
      <c r="C868" s="4" t="n"/>
      <c r="D868" s="4" t="n"/>
      <c r="E868" s="4" t="n"/>
      <c r="F868" s="4" t="n"/>
      <c r="G868" s="4" t="n"/>
    </row>
    <row r="869" ht="15.75" customHeight="1">
      <c r="C869" s="4" t="n"/>
      <c r="D869" s="4" t="n"/>
      <c r="E869" s="4" t="n"/>
      <c r="F869" s="4" t="n"/>
      <c r="G869" s="4" t="n"/>
    </row>
    <row r="870" ht="15.75" customHeight="1">
      <c r="C870" s="4" t="n"/>
      <c r="D870" s="4" t="n"/>
      <c r="E870" s="4" t="n"/>
      <c r="F870" s="4" t="n"/>
      <c r="G870" s="4" t="n"/>
    </row>
    <row r="871" ht="15.75" customHeight="1">
      <c r="C871" s="4" t="n"/>
      <c r="D871" s="4" t="n"/>
      <c r="E871" s="4" t="n"/>
      <c r="F871" s="4" t="n"/>
      <c r="G871" s="4" t="n"/>
    </row>
    <row r="872" ht="15.75" customHeight="1">
      <c r="C872" s="4" t="n"/>
      <c r="D872" s="4" t="n"/>
      <c r="E872" s="4" t="n"/>
      <c r="F872" s="4" t="n"/>
      <c r="G872" s="4" t="n"/>
    </row>
    <row r="873" ht="15.75" customHeight="1">
      <c r="C873" s="4" t="n"/>
      <c r="D873" s="4" t="n"/>
      <c r="E873" s="4" t="n"/>
      <c r="F873" s="4" t="n"/>
      <c r="G873" s="4" t="n"/>
    </row>
    <row r="874" ht="15.75" customHeight="1">
      <c r="C874" s="4" t="n"/>
      <c r="D874" s="4" t="n"/>
      <c r="E874" s="4" t="n"/>
      <c r="F874" s="4" t="n"/>
      <c r="G874" s="4" t="n"/>
    </row>
    <row r="875" ht="15.75" customHeight="1">
      <c r="C875" s="4" t="n"/>
      <c r="D875" s="4" t="n"/>
      <c r="E875" s="4" t="n"/>
      <c r="F875" s="4" t="n"/>
      <c r="G875" s="4" t="n"/>
    </row>
    <row r="876" ht="15.75" customHeight="1">
      <c r="C876" s="4" t="n"/>
      <c r="D876" s="4" t="n"/>
      <c r="E876" s="4" t="n"/>
      <c r="F876" s="4" t="n"/>
      <c r="G876" s="4" t="n"/>
    </row>
    <row r="877" ht="15.75" customHeight="1">
      <c r="C877" s="4" t="n"/>
      <c r="D877" s="4" t="n"/>
      <c r="E877" s="4" t="n"/>
      <c r="F877" s="4" t="n"/>
      <c r="G877" s="4" t="n"/>
    </row>
    <row r="878" ht="15.75" customHeight="1">
      <c r="C878" s="4" t="n"/>
      <c r="D878" s="4" t="n"/>
      <c r="E878" s="4" t="n"/>
      <c r="F878" s="4" t="n"/>
      <c r="G878" s="4" t="n"/>
    </row>
    <row r="879" ht="15.75" customHeight="1">
      <c r="C879" s="4" t="n"/>
      <c r="D879" s="4" t="n"/>
      <c r="E879" s="4" t="n"/>
      <c r="F879" s="4" t="n"/>
      <c r="G879" s="4" t="n"/>
    </row>
    <row r="880" ht="15.75" customHeight="1">
      <c r="C880" s="4" t="n"/>
      <c r="D880" s="4" t="n"/>
      <c r="E880" s="4" t="n"/>
      <c r="F880" s="4" t="n"/>
      <c r="G880" s="4" t="n"/>
    </row>
    <row r="881" ht="15.75" customHeight="1">
      <c r="C881" s="4" t="n"/>
      <c r="D881" s="4" t="n"/>
      <c r="E881" s="4" t="n"/>
      <c r="F881" s="4" t="n"/>
      <c r="G881" s="4" t="n"/>
    </row>
    <row r="882" ht="15.75" customHeight="1">
      <c r="C882" s="4" t="n"/>
      <c r="D882" s="4" t="n"/>
      <c r="E882" s="4" t="n"/>
      <c r="F882" s="4" t="n"/>
      <c r="G882" s="4" t="n"/>
    </row>
    <row r="883" ht="15.75" customHeight="1">
      <c r="C883" s="4" t="n"/>
      <c r="D883" s="4" t="n"/>
      <c r="E883" s="4" t="n"/>
      <c r="F883" s="4" t="n"/>
      <c r="G883" s="4" t="n"/>
    </row>
    <row r="884" ht="15.75" customHeight="1">
      <c r="C884" s="4" t="n"/>
      <c r="D884" s="4" t="n"/>
      <c r="E884" s="4" t="n"/>
      <c r="F884" s="4" t="n"/>
      <c r="G884" s="4" t="n"/>
    </row>
    <row r="885" ht="15.75" customHeight="1">
      <c r="C885" s="4" t="n"/>
      <c r="D885" s="4" t="n"/>
      <c r="E885" s="4" t="n"/>
      <c r="F885" s="4" t="n"/>
      <c r="G885" s="4" t="n"/>
    </row>
    <row r="886" ht="15.75" customHeight="1">
      <c r="C886" s="4" t="n"/>
      <c r="D886" s="4" t="n"/>
      <c r="E886" s="4" t="n"/>
      <c r="F886" s="4" t="n"/>
      <c r="G886" s="4" t="n"/>
    </row>
    <row r="887" ht="15.75" customHeight="1">
      <c r="C887" s="4" t="n"/>
      <c r="D887" s="4" t="n"/>
      <c r="E887" s="4" t="n"/>
      <c r="F887" s="4" t="n"/>
      <c r="G887" s="4" t="n"/>
    </row>
    <row r="888" ht="15.75" customHeight="1">
      <c r="C888" s="4" t="n"/>
      <c r="D888" s="4" t="n"/>
      <c r="E888" s="4" t="n"/>
      <c r="F888" s="4" t="n"/>
      <c r="G888" s="4" t="n"/>
    </row>
    <row r="889" ht="15.75" customHeight="1">
      <c r="C889" s="4" t="n"/>
      <c r="D889" s="4" t="n"/>
      <c r="E889" s="4" t="n"/>
      <c r="F889" s="4" t="n"/>
      <c r="G889" s="4" t="n"/>
    </row>
    <row r="890" ht="15.75" customHeight="1">
      <c r="C890" s="4" t="n"/>
      <c r="D890" s="4" t="n"/>
      <c r="E890" s="4" t="n"/>
      <c r="F890" s="4" t="n"/>
      <c r="G890" s="4" t="n"/>
    </row>
    <row r="891" ht="15.75" customHeight="1">
      <c r="C891" s="4" t="n"/>
      <c r="D891" s="4" t="n"/>
      <c r="E891" s="4" t="n"/>
      <c r="F891" s="4" t="n"/>
      <c r="G891" s="4" t="n"/>
    </row>
    <row r="892" ht="15.75" customHeight="1">
      <c r="C892" s="4" t="n"/>
      <c r="D892" s="4" t="n"/>
      <c r="E892" s="4" t="n"/>
      <c r="F892" s="4" t="n"/>
      <c r="G892" s="4" t="n"/>
    </row>
    <row r="893" ht="15.75" customHeight="1">
      <c r="C893" s="4" t="n"/>
      <c r="D893" s="4" t="n"/>
      <c r="E893" s="4" t="n"/>
      <c r="F893" s="4" t="n"/>
      <c r="G893" s="4" t="n"/>
    </row>
    <row r="894" ht="15.75" customHeight="1">
      <c r="C894" s="4" t="n"/>
      <c r="D894" s="4" t="n"/>
      <c r="E894" s="4" t="n"/>
      <c r="F894" s="4" t="n"/>
      <c r="G894" s="4" t="n"/>
    </row>
    <row r="895" ht="15.75" customHeight="1">
      <c r="C895" s="4" t="n"/>
      <c r="D895" s="4" t="n"/>
      <c r="E895" s="4" t="n"/>
      <c r="F895" s="4" t="n"/>
      <c r="G895" s="4" t="n"/>
    </row>
    <row r="896" ht="15.75" customHeight="1">
      <c r="C896" s="4" t="n"/>
      <c r="D896" s="4" t="n"/>
      <c r="E896" s="4" t="n"/>
      <c r="F896" s="4" t="n"/>
      <c r="G896" s="4" t="n"/>
    </row>
    <row r="897" ht="15.75" customHeight="1">
      <c r="C897" s="4" t="n"/>
      <c r="D897" s="4" t="n"/>
      <c r="E897" s="4" t="n"/>
      <c r="F897" s="4" t="n"/>
      <c r="G897" s="4" t="n"/>
    </row>
    <row r="898" ht="15.75" customHeight="1">
      <c r="C898" s="4" t="n"/>
      <c r="D898" s="4" t="n"/>
      <c r="E898" s="4" t="n"/>
      <c r="F898" s="4" t="n"/>
      <c r="G898" s="4" t="n"/>
    </row>
    <row r="899" ht="15.75" customHeight="1">
      <c r="C899" s="4" t="n"/>
      <c r="D899" s="4" t="n"/>
      <c r="E899" s="4" t="n"/>
      <c r="F899" s="4" t="n"/>
      <c r="G899" s="4" t="n"/>
    </row>
    <row r="900" ht="15.75" customHeight="1">
      <c r="C900" s="4" t="n"/>
      <c r="D900" s="4" t="n"/>
      <c r="E900" s="4" t="n"/>
      <c r="F900" s="4" t="n"/>
      <c r="G900" s="4" t="n"/>
    </row>
    <row r="901" ht="15.75" customHeight="1">
      <c r="C901" s="4" t="n"/>
      <c r="D901" s="4" t="n"/>
      <c r="E901" s="4" t="n"/>
      <c r="F901" s="4" t="n"/>
      <c r="G901" s="4" t="n"/>
    </row>
    <row r="902" ht="15.75" customHeight="1">
      <c r="C902" s="4" t="n"/>
      <c r="D902" s="4" t="n"/>
      <c r="E902" s="4" t="n"/>
      <c r="F902" s="4" t="n"/>
      <c r="G902" s="4" t="n"/>
    </row>
    <row r="903" ht="15.75" customHeight="1">
      <c r="C903" s="4" t="n"/>
      <c r="D903" s="4" t="n"/>
      <c r="E903" s="4" t="n"/>
      <c r="F903" s="4" t="n"/>
      <c r="G903" s="4" t="n"/>
    </row>
    <row r="904" ht="15.75" customHeight="1">
      <c r="C904" s="4" t="n"/>
      <c r="D904" s="4" t="n"/>
      <c r="E904" s="4" t="n"/>
      <c r="F904" s="4" t="n"/>
      <c r="G904" s="4" t="n"/>
    </row>
    <row r="905" ht="15.75" customHeight="1">
      <c r="C905" s="4" t="n"/>
      <c r="D905" s="4" t="n"/>
      <c r="E905" s="4" t="n"/>
      <c r="F905" s="4" t="n"/>
      <c r="G905" s="4" t="n"/>
    </row>
    <row r="906" ht="15.75" customHeight="1">
      <c r="C906" s="4" t="n"/>
      <c r="D906" s="4" t="n"/>
      <c r="E906" s="4" t="n"/>
      <c r="F906" s="4" t="n"/>
      <c r="G906" s="4" t="n"/>
    </row>
    <row r="907" ht="15.75" customHeight="1">
      <c r="C907" s="4" t="n"/>
      <c r="D907" s="4" t="n"/>
      <c r="E907" s="4" t="n"/>
      <c r="F907" s="4" t="n"/>
      <c r="G907" s="4" t="n"/>
    </row>
    <row r="908" ht="15.75" customHeight="1">
      <c r="C908" s="4" t="n"/>
      <c r="D908" s="4" t="n"/>
      <c r="E908" s="4" t="n"/>
      <c r="F908" s="4" t="n"/>
      <c r="G908" s="4" t="n"/>
    </row>
    <row r="909" ht="15.75" customHeight="1">
      <c r="C909" s="4" t="n"/>
      <c r="D909" s="4" t="n"/>
      <c r="E909" s="4" t="n"/>
      <c r="F909" s="4" t="n"/>
      <c r="G909" s="4" t="n"/>
    </row>
    <row r="910" ht="15.75" customHeight="1">
      <c r="C910" s="4" t="n"/>
      <c r="D910" s="4" t="n"/>
      <c r="E910" s="4" t="n"/>
      <c r="F910" s="4" t="n"/>
      <c r="G910" s="4" t="n"/>
    </row>
    <row r="911" ht="15.75" customHeight="1">
      <c r="C911" s="4" t="n"/>
      <c r="D911" s="4" t="n"/>
      <c r="E911" s="4" t="n"/>
      <c r="F911" s="4" t="n"/>
      <c r="G911" s="4" t="n"/>
    </row>
    <row r="912" ht="15.75" customHeight="1">
      <c r="C912" s="4" t="n"/>
      <c r="D912" s="4" t="n"/>
      <c r="E912" s="4" t="n"/>
      <c r="F912" s="4" t="n"/>
      <c r="G912" s="4" t="n"/>
    </row>
    <row r="913" ht="15.75" customHeight="1">
      <c r="C913" s="4" t="n"/>
      <c r="D913" s="4" t="n"/>
      <c r="E913" s="4" t="n"/>
      <c r="F913" s="4" t="n"/>
      <c r="G913" s="4" t="n"/>
    </row>
    <row r="914" ht="15.75" customHeight="1">
      <c r="C914" s="4" t="n"/>
      <c r="D914" s="4" t="n"/>
      <c r="E914" s="4" t="n"/>
      <c r="F914" s="4" t="n"/>
      <c r="G914" s="4" t="n"/>
    </row>
    <row r="915" ht="15.75" customHeight="1">
      <c r="C915" s="4" t="n"/>
      <c r="D915" s="4" t="n"/>
      <c r="E915" s="4" t="n"/>
      <c r="F915" s="4" t="n"/>
      <c r="G915" s="4" t="n"/>
    </row>
    <row r="916" ht="15.75" customHeight="1">
      <c r="C916" s="4" t="n"/>
      <c r="D916" s="4" t="n"/>
      <c r="E916" s="4" t="n"/>
      <c r="F916" s="4" t="n"/>
      <c r="G916" s="4" t="n"/>
    </row>
    <row r="917" ht="15.75" customHeight="1">
      <c r="C917" s="4" t="n"/>
      <c r="D917" s="4" t="n"/>
      <c r="E917" s="4" t="n"/>
      <c r="F917" s="4" t="n"/>
      <c r="G917" s="4" t="n"/>
    </row>
    <row r="918" ht="15.75" customHeight="1">
      <c r="C918" s="4" t="n"/>
      <c r="D918" s="4" t="n"/>
      <c r="E918" s="4" t="n"/>
      <c r="F918" s="4" t="n"/>
      <c r="G918" s="4" t="n"/>
    </row>
    <row r="919" ht="15.75" customHeight="1">
      <c r="C919" s="4" t="n"/>
      <c r="D919" s="4" t="n"/>
      <c r="E919" s="4" t="n"/>
      <c r="F919" s="4" t="n"/>
      <c r="G919" s="4" t="n"/>
    </row>
    <row r="920" ht="15.75" customHeight="1">
      <c r="C920" s="4" t="n"/>
      <c r="D920" s="4" t="n"/>
      <c r="E920" s="4" t="n"/>
      <c r="F920" s="4" t="n"/>
      <c r="G920" s="4" t="n"/>
    </row>
    <row r="921" ht="15.75" customHeight="1">
      <c r="C921" s="4" t="n"/>
      <c r="D921" s="4" t="n"/>
      <c r="E921" s="4" t="n"/>
      <c r="F921" s="4" t="n"/>
      <c r="G921" s="4" t="n"/>
    </row>
    <row r="922" ht="15.75" customHeight="1">
      <c r="C922" s="4" t="n"/>
      <c r="D922" s="4" t="n"/>
      <c r="E922" s="4" t="n"/>
      <c r="F922" s="4" t="n"/>
      <c r="G922" s="4" t="n"/>
    </row>
    <row r="923" ht="15.75" customHeight="1">
      <c r="C923" s="4" t="n"/>
      <c r="D923" s="4" t="n"/>
      <c r="E923" s="4" t="n"/>
      <c r="F923" s="4" t="n"/>
      <c r="G923" s="4" t="n"/>
    </row>
    <row r="924" ht="15.75" customHeight="1">
      <c r="C924" s="4" t="n"/>
      <c r="D924" s="4" t="n"/>
      <c r="E924" s="4" t="n"/>
      <c r="F924" s="4" t="n"/>
      <c r="G924" s="4" t="n"/>
    </row>
    <row r="925" ht="15.75" customHeight="1">
      <c r="C925" s="4" t="n"/>
      <c r="D925" s="4" t="n"/>
      <c r="E925" s="4" t="n"/>
      <c r="F925" s="4" t="n"/>
      <c r="G925" s="4" t="n"/>
    </row>
    <row r="926" ht="15.75" customHeight="1">
      <c r="C926" s="4" t="n"/>
      <c r="D926" s="4" t="n"/>
      <c r="E926" s="4" t="n"/>
      <c r="F926" s="4" t="n"/>
      <c r="G926" s="4" t="n"/>
    </row>
    <row r="927" ht="15.75" customHeight="1">
      <c r="C927" s="4" t="n"/>
      <c r="D927" s="4" t="n"/>
      <c r="E927" s="4" t="n"/>
      <c r="F927" s="4" t="n"/>
      <c r="G927" s="4" t="n"/>
    </row>
    <row r="928" ht="15.75" customHeight="1">
      <c r="C928" s="4" t="n"/>
      <c r="D928" s="4" t="n"/>
      <c r="E928" s="4" t="n"/>
      <c r="F928" s="4" t="n"/>
      <c r="G928" s="4" t="n"/>
    </row>
    <row r="929" ht="15.75" customHeight="1">
      <c r="C929" s="4" t="n"/>
      <c r="D929" s="4" t="n"/>
      <c r="E929" s="4" t="n"/>
      <c r="F929" s="4" t="n"/>
      <c r="G929" s="4" t="n"/>
    </row>
    <row r="930" ht="15.75" customHeight="1">
      <c r="C930" s="4" t="n"/>
      <c r="D930" s="4" t="n"/>
      <c r="E930" s="4" t="n"/>
      <c r="F930" s="4" t="n"/>
      <c r="G930" s="4" t="n"/>
    </row>
    <row r="931" ht="15.75" customHeight="1">
      <c r="C931" s="4" t="n"/>
      <c r="D931" s="4" t="n"/>
      <c r="E931" s="4" t="n"/>
      <c r="F931" s="4" t="n"/>
      <c r="G931" s="4" t="n"/>
    </row>
    <row r="932" ht="15.75" customHeight="1">
      <c r="C932" s="4" t="n"/>
      <c r="D932" s="4" t="n"/>
      <c r="E932" s="4" t="n"/>
      <c r="F932" s="4" t="n"/>
      <c r="G932" s="4" t="n"/>
    </row>
    <row r="933" ht="15.75" customHeight="1">
      <c r="C933" s="4" t="n"/>
      <c r="D933" s="4" t="n"/>
      <c r="E933" s="4" t="n"/>
      <c r="F933" s="4" t="n"/>
      <c r="G933" s="4" t="n"/>
    </row>
    <row r="934" ht="15.75" customHeight="1">
      <c r="C934" s="4" t="n"/>
      <c r="D934" s="4" t="n"/>
      <c r="E934" s="4" t="n"/>
      <c r="F934" s="4" t="n"/>
      <c r="G934" s="4" t="n"/>
    </row>
    <row r="935" ht="15.75" customHeight="1">
      <c r="C935" s="4" t="n"/>
      <c r="D935" s="4" t="n"/>
      <c r="E935" s="4" t="n"/>
      <c r="F935" s="4" t="n"/>
      <c r="G935" s="4" t="n"/>
    </row>
    <row r="936" ht="15.75" customHeight="1">
      <c r="C936" s="4" t="n"/>
      <c r="D936" s="4" t="n"/>
      <c r="E936" s="4" t="n"/>
      <c r="F936" s="4" t="n"/>
      <c r="G936" s="4" t="n"/>
    </row>
    <row r="937" ht="15.75" customHeight="1">
      <c r="C937" s="4" t="n"/>
      <c r="D937" s="4" t="n"/>
      <c r="E937" s="4" t="n"/>
      <c r="F937" s="4" t="n"/>
      <c r="G937" s="4" t="n"/>
    </row>
    <row r="938" ht="15.75" customHeight="1">
      <c r="C938" s="4" t="n"/>
      <c r="D938" s="4" t="n"/>
      <c r="E938" s="4" t="n"/>
      <c r="F938" s="4" t="n"/>
      <c r="G938" s="4" t="n"/>
    </row>
    <row r="939" ht="15.75" customHeight="1">
      <c r="C939" s="4" t="n"/>
      <c r="D939" s="4" t="n"/>
      <c r="E939" s="4" t="n"/>
      <c r="F939" s="4" t="n"/>
      <c r="G939" s="4" t="n"/>
    </row>
    <row r="940" ht="15.75" customHeight="1">
      <c r="C940" s="4" t="n"/>
      <c r="D940" s="4" t="n"/>
      <c r="E940" s="4" t="n"/>
      <c r="F940" s="4" t="n"/>
      <c r="G940" s="4" t="n"/>
    </row>
    <row r="941" ht="15.75" customHeight="1">
      <c r="C941" s="4" t="n"/>
      <c r="D941" s="4" t="n"/>
      <c r="E941" s="4" t="n"/>
      <c r="F941" s="4" t="n"/>
      <c r="G941" s="4" t="n"/>
    </row>
    <row r="942" ht="15.75" customHeight="1">
      <c r="C942" s="4" t="n"/>
      <c r="D942" s="4" t="n"/>
      <c r="E942" s="4" t="n"/>
      <c r="F942" s="4" t="n"/>
      <c r="G942" s="4" t="n"/>
    </row>
    <row r="943" ht="15.75" customHeight="1">
      <c r="C943" s="4" t="n"/>
      <c r="D943" s="4" t="n"/>
      <c r="E943" s="4" t="n"/>
      <c r="F943" s="4" t="n"/>
      <c r="G943" s="4" t="n"/>
    </row>
    <row r="944" ht="15.75" customHeight="1">
      <c r="C944" s="4" t="n"/>
      <c r="D944" s="4" t="n"/>
      <c r="E944" s="4" t="n"/>
      <c r="F944" s="4" t="n"/>
      <c r="G944" s="4" t="n"/>
    </row>
    <row r="945" ht="15.75" customHeight="1">
      <c r="C945" s="4" t="n"/>
      <c r="D945" s="4" t="n"/>
      <c r="E945" s="4" t="n"/>
      <c r="F945" s="4" t="n"/>
      <c r="G945" s="4" t="n"/>
    </row>
    <row r="946" ht="15.75" customHeight="1">
      <c r="C946" s="4" t="n"/>
      <c r="D946" s="4" t="n"/>
      <c r="E946" s="4" t="n"/>
      <c r="F946" s="4" t="n"/>
      <c r="G946" s="4" t="n"/>
    </row>
    <row r="947" ht="15.75" customHeight="1">
      <c r="C947" s="4" t="n"/>
      <c r="D947" s="4" t="n"/>
      <c r="E947" s="4" t="n"/>
      <c r="F947" s="4" t="n"/>
      <c r="G947" s="4" t="n"/>
    </row>
    <row r="948" ht="15.75" customHeight="1">
      <c r="C948" s="4" t="n"/>
      <c r="D948" s="4" t="n"/>
      <c r="E948" s="4" t="n"/>
      <c r="F948" s="4" t="n"/>
      <c r="G948" s="4" t="n"/>
    </row>
    <row r="949" ht="15.75" customHeight="1">
      <c r="C949" s="4" t="n"/>
      <c r="D949" s="4" t="n"/>
      <c r="E949" s="4" t="n"/>
      <c r="F949" s="4" t="n"/>
      <c r="G949" s="4" t="n"/>
    </row>
    <row r="950" ht="15.75" customHeight="1">
      <c r="C950" s="4" t="n"/>
      <c r="D950" s="4" t="n"/>
      <c r="E950" s="4" t="n"/>
      <c r="F950" s="4" t="n"/>
      <c r="G950" s="4" t="n"/>
    </row>
    <row r="951" ht="15.75" customHeight="1">
      <c r="C951" s="4" t="n"/>
      <c r="D951" s="4" t="n"/>
      <c r="E951" s="4" t="n"/>
      <c r="F951" s="4" t="n"/>
      <c r="G951" s="4" t="n"/>
    </row>
    <row r="952" ht="15.75" customHeight="1">
      <c r="C952" s="4" t="n"/>
      <c r="D952" s="4" t="n"/>
      <c r="E952" s="4" t="n"/>
      <c r="F952" s="4" t="n"/>
      <c r="G952" s="4" t="n"/>
    </row>
    <row r="953" ht="15.75" customHeight="1">
      <c r="C953" s="4" t="n"/>
      <c r="D953" s="4" t="n"/>
      <c r="E953" s="4" t="n"/>
      <c r="F953" s="4" t="n"/>
      <c r="G953" s="4" t="n"/>
    </row>
    <row r="954" ht="15.75" customHeight="1">
      <c r="C954" s="4" t="n"/>
      <c r="D954" s="4" t="n"/>
      <c r="E954" s="4" t="n"/>
      <c r="F954" s="4" t="n"/>
      <c r="G954" s="4" t="n"/>
    </row>
    <row r="955" ht="15.75" customHeight="1">
      <c r="C955" s="4" t="n"/>
      <c r="D955" s="4" t="n"/>
      <c r="E955" s="4" t="n"/>
      <c r="F955" s="4" t="n"/>
      <c r="G955" s="4" t="n"/>
    </row>
    <row r="956" ht="15.75" customHeight="1">
      <c r="C956" s="4" t="n"/>
      <c r="D956" s="4" t="n"/>
      <c r="E956" s="4" t="n"/>
      <c r="F956" s="4" t="n"/>
      <c r="G956" s="4" t="n"/>
    </row>
    <row r="957" ht="15.75" customHeight="1">
      <c r="C957" s="4" t="n"/>
      <c r="D957" s="4" t="n"/>
      <c r="E957" s="4" t="n"/>
      <c r="F957" s="4" t="n"/>
      <c r="G957" s="4" t="n"/>
    </row>
    <row r="958" ht="15.75" customHeight="1">
      <c r="C958" s="4" t="n"/>
      <c r="D958" s="4" t="n"/>
      <c r="E958" s="4" t="n"/>
      <c r="F958" s="4" t="n"/>
      <c r="G958" s="4" t="n"/>
    </row>
    <row r="959" ht="15.75" customHeight="1">
      <c r="C959" s="4" t="n"/>
      <c r="D959" s="4" t="n"/>
      <c r="E959" s="4" t="n"/>
      <c r="F959" s="4" t="n"/>
      <c r="G959" s="4" t="n"/>
    </row>
    <row r="960" ht="15.75" customHeight="1">
      <c r="C960" s="4" t="n"/>
      <c r="D960" s="4" t="n"/>
      <c r="E960" s="4" t="n"/>
      <c r="F960" s="4" t="n"/>
      <c r="G960" s="4" t="n"/>
    </row>
    <row r="961" ht="15.75" customHeight="1">
      <c r="C961" s="4" t="n"/>
      <c r="D961" s="4" t="n"/>
      <c r="E961" s="4" t="n"/>
      <c r="F961" s="4" t="n"/>
      <c r="G961" s="4" t="n"/>
    </row>
    <row r="962" ht="15.75" customHeight="1">
      <c r="C962" s="4" t="n"/>
      <c r="D962" s="4" t="n"/>
      <c r="E962" s="4" t="n"/>
      <c r="F962" s="4" t="n"/>
      <c r="G962" s="4" t="n"/>
    </row>
    <row r="963" ht="15.75" customHeight="1">
      <c r="C963" s="4" t="n"/>
      <c r="D963" s="4" t="n"/>
      <c r="E963" s="4" t="n"/>
      <c r="F963" s="4" t="n"/>
      <c r="G963" s="4" t="n"/>
    </row>
    <row r="964" ht="15.75" customHeight="1">
      <c r="C964" s="4" t="n"/>
      <c r="D964" s="4" t="n"/>
      <c r="E964" s="4" t="n"/>
      <c r="F964" s="4" t="n"/>
      <c r="G964" s="4" t="n"/>
    </row>
    <row r="965" ht="15.75" customHeight="1">
      <c r="C965" s="4" t="n"/>
      <c r="D965" s="4" t="n"/>
      <c r="E965" s="4" t="n"/>
      <c r="F965" s="4" t="n"/>
      <c r="G965" s="4" t="n"/>
    </row>
    <row r="966" ht="15.75" customHeight="1">
      <c r="C966" s="4" t="n"/>
      <c r="D966" s="4" t="n"/>
      <c r="E966" s="4" t="n"/>
      <c r="F966" s="4" t="n"/>
      <c r="G966" s="4" t="n"/>
    </row>
    <row r="967" ht="15.75" customHeight="1">
      <c r="C967" s="4" t="n"/>
      <c r="D967" s="4" t="n"/>
      <c r="E967" s="4" t="n"/>
      <c r="F967" s="4" t="n"/>
      <c r="G967" s="4" t="n"/>
    </row>
    <row r="968" ht="15.75" customHeight="1">
      <c r="C968" s="4" t="n"/>
      <c r="D968" s="4" t="n"/>
      <c r="E968" s="4" t="n"/>
      <c r="F968" s="4" t="n"/>
      <c r="G968" s="4" t="n"/>
    </row>
    <row r="969" ht="15.75" customHeight="1">
      <c r="C969" s="4" t="n"/>
      <c r="D969" s="4" t="n"/>
      <c r="E969" s="4" t="n"/>
      <c r="F969" s="4" t="n"/>
      <c r="G969" s="4" t="n"/>
    </row>
    <row r="970" ht="15.75" customHeight="1">
      <c r="C970" s="4" t="n"/>
      <c r="D970" s="4" t="n"/>
      <c r="E970" s="4" t="n"/>
      <c r="F970" s="4" t="n"/>
      <c r="G970" s="4" t="n"/>
    </row>
    <row r="971" ht="15.75" customHeight="1">
      <c r="C971" s="4" t="n"/>
      <c r="D971" s="4" t="n"/>
      <c r="E971" s="4" t="n"/>
      <c r="F971" s="4" t="n"/>
      <c r="G971" s="4" t="n"/>
    </row>
    <row r="972" ht="15.75" customHeight="1">
      <c r="C972" s="4" t="n"/>
      <c r="D972" s="4" t="n"/>
      <c r="E972" s="4" t="n"/>
      <c r="F972" s="4" t="n"/>
      <c r="G972" s="4" t="n"/>
    </row>
    <row r="973" ht="15.75" customHeight="1">
      <c r="C973" s="4" t="n"/>
      <c r="D973" s="4" t="n"/>
      <c r="E973" s="4" t="n"/>
      <c r="F973" s="4" t="n"/>
      <c r="G973" s="4" t="n"/>
    </row>
    <row r="974" ht="15.75" customHeight="1">
      <c r="C974" s="4" t="n"/>
      <c r="D974" s="4" t="n"/>
      <c r="E974" s="4" t="n"/>
      <c r="F974" s="4" t="n"/>
      <c r="G974" s="4" t="n"/>
    </row>
    <row r="975" ht="15.75" customHeight="1">
      <c r="C975" s="4" t="n"/>
      <c r="D975" s="4" t="n"/>
      <c r="E975" s="4" t="n"/>
      <c r="F975" s="4" t="n"/>
      <c r="G975" s="4" t="n"/>
    </row>
    <row r="976" ht="15.75" customHeight="1">
      <c r="C976" s="4" t="n"/>
      <c r="D976" s="4" t="n"/>
      <c r="E976" s="4" t="n"/>
      <c r="F976" s="4" t="n"/>
      <c r="G976" s="4" t="n"/>
    </row>
    <row r="977" ht="15.75" customHeight="1">
      <c r="C977" s="4" t="n"/>
      <c r="D977" s="4" t="n"/>
      <c r="E977" s="4" t="n"/>
      <c r="F977" s="4" t="n"/>
      <c r="G977" s="4" t="n"/>
    </row>
    <row r="978" ht="15.75" customHeight="1">
      <c r="C978" s="4" t="n"/>
      <c r="D978" s="4" t="n"/>
      <c r="E978" s="4" t="n"/>
      <c r="F978" s="4" t="n"/>
      <c r="G978" s="4" t="n"/>
    </row>
    <row r="979" ht="15.75" customHeight="1">
      <c r="C979" s="4" t="n"/>
      <c r="D979" s="4" t="n"/>
      <c r="E979" s="4" t="n"/>
      <c r="F979" s="4" t="n"/>
      <c r="G979" s="4" t="n"/>
    </row>
    <row r="980" ht="15.75" customHeight="1">
      <c r="C980" s="4" t="n"/>
      <c r="D980" s="4" t="n"/>
      <c r="E980" s="4" t="n"/>
      <c r="F980" s="4" t="n"/>
      <c r="G980" s="4" t="n"/>
    </row>
    <row r="981" ht="15.75" customHeight="1">
      <c r="C981" s="4" t="n"/>
      <c r="D981" s="4" t="n"/>
      <c r="E981" s="4" t="n"/>
      <c r="F981" s="4" t="n"/>
      <c r="G981" s="4" t="n"/>
    </row>
    <row r="982" ht="15.75" customHeight="1">
      <c r="C982" s="4" t="n"/>
      <c r="D982" s="4" t="n"/>
      <c r="E982" s="4" t="n"/>
      <c r="F982" s="4" t="n"/>
      <c r="G982" s="4" t="n"/>
    </row>
    <row r="983" ht="15.75" customHeight="1">
      <c r="C983" s="4" t="n"/>
      <c r="D983" s="4" t="n"/>
      <c r="E983" s="4" t="n"/>
      <c r="F983" s="4" t="n"/>
      <c r="G983" s="4" t="n"/>
    </row>
    <row r="984" ht="15.75" customHeight="1">
      <c r="C984" s="4" t="n"/>
      <c r="D984" s="4" t="n"/>
      <c r="E984" s="4" t="n"/>
      <c r="F984" s="4" t="n"/>
      <c r="G984" s="4" t="n"/>
    </row>
    <row r="985" ht="15.75" customHeight="1">
      <c r="C985" s="4" t="n"/>
      <c r="D985" s="4" t="n"/>
      <c r="E985" s="4" t="n"/>
      <c r="F985" s="4" t="n"/>
      <c r="G985" s="4" t="n"/>
    </row>
    <row r="986" ht="15.75" customHeight="1">
      <c r="C986" s="4" t="n"/>
      <c r="D986" s="4" t="n"/>
      <c r="E986" s="4" t="n"/>
      <c r="F986" s="4" t="n"/>
      <c r="G986" s="4" t="n"/>
    </row>
    <row r="987" ht="15.75" customHeight="1">
      <c r="C987" s="4" t="n"/>
      <c r="D987" s="4" t="n"/>
      <c r="E987" s="4" t="n"/>
      <c r="F987" s="4" t="n"/>
      <c r="G987" s="4" t="n"/>
    </row>
    <row r="988" ht="15.75" customHeight="1">
      <c r="C988" s="4" t="n"/>
      <c r="D988" s="4" t="n"/>
      <c r="E988" s="4" t="n"/>
      <c r="F988" s="4" t="n"/>
      <c r="G988" s="4" t="n"/>
    </row>
    <row r="989" ht="15.75" customHeight="1">
      <c r="C989" s="4" t="n"/>
      <c r="D989" s="4" t="n"/>
      <c r="E989" s="4" t="n"/>
      <c r="F989" s="4" t="n"/>
      <c r="G989" s="4" t="n"/>
    </row>
    <row r="990" ht="15.75" customHeight="1">
      <c r="C990" s="4" t="n"/>
      <c r="D990" s="4" t="n"/>
      <c r="E990" s="4" t="n"/>
      <c r="F990" s="4" t="n"/>
      <c r="G990" s="4" t="n"/>
    </row>
    <row r="991" ht="15.75" customHeight="1">
      <c r="C991" s="4" t="n"/>
      <c r="D991" s="4" t="n"/>
      <c r="E991" s="4" t="n"/>
      <c r="F991" s="4" t="n"/>
      <c r="G991" s="4" t="n"/>
    </row>
    <row r="992" ht="15.75" customHeight="1">
      <c r="C992" s="4" t="n"/>
      <c r="D992" s="4" t="n"/>
      <c r="E992" s="4" t="n"/>
      <c r="F992" s="4" t="n"/>
      <c r="G992" s="4" t="n"/>
    </row>
    <row r="993" ht="15.75" customHeight="1">
      <c r="C993" s="4" t="n"/>
      <c r="D993" s="4" t="n"/>
      <c r="E993" s="4" t="n"/>
      <c r="F993" s="4" t="n"/>
      <c r="G993" s="4" t="n"/>
    </row>
    <row r="994" ht="15.75" customHeight="1">
      <c r="C994" s="4" t="n"/>
      <c r="D994" s="4" t="n"/>
      <c r="E994" s="4" t="n"/>
      <c r="F994" s="4" t="n"/>
      <c r="G994" s="4" t="n"/>
    </row>
    <row r="995" ht="15.75" customHeight="1">
      <c r="C995" s="4" t="n"/>
      <c r="D995" s="4" t="n"/>
      <c r="E995" s="4" t="n"/>
      <c r="F995" s="4" t="n"/>
      <c r="G995" s="4" t="n"/>
    </row>
    <row r="996" ht="15.75" customHeight="1">
      <c r="C996" s="4" t="n"/>
      <c r="D996" s="4" t="n"/>
      <c r="E996" s="4" t="n"/>
      <c r="F996" s="4" t="n"/>
      <c r="G996" s="4" t="n"/>
    </row>
    <row r="997" ht="15.75" customHeight="1">
      <c r="C997" s="4" t="n"/>
      <c r="D997" s="4" t="n"/>
      <c r="E997" s="4" t="n"/>
      <c r="F997" s="4" t="n"/>
      <c r="G997" s="4" t="n"/>
    </row>
    <row r="998" ht="15.75" customHeight="1">
      <c r="C998" s="4" t="n"/>
      <c r="D998" s="4" t="n"/>
      <c r="E998" s="4" t="n"/>
      <c r="F998" s="4" t="n"/>
      <c r="G998" s="4" t="n"/>
    </row>
    <row r="999" ht="15.75" customHeight="1">
      <c r="C999" s="4" t="n"/>
      <c r="D999" s="4" t="n"/>
      <c r="E999" s="4" t="n"/>
      <c r="F999" s="4" t="n"/>
      <c r="G999" s="4" t="n"/>
    </row>
    <row r="1000" ht="15.75" customHeight="1">
      <c r="C1000" s="4" t="n"/>
      <c r="D1000" s="4" t="n"/>
      <c r="E1000" s="4" t="n"/>
      <c r="F1000" s="4" t="n"/>
      <c r="G1000" s="4" t="n"/>
    </row>
    <row r="1001" ht="15.75" customHeight="1">
      <c r="C1001" s="4" t="n"/>
      <c r="D1001" s="4" t="n"/>
      <c r="E1001" s="4" t="n"/>
      <c r="F1001" s="4" t="n"/>
      <c r="G1001" s="4" t="n"/>
    </row>
    <row r="1002" ht="15.75" customHeight="1">
      <c r="C1002" s="4" t="n"/>
      <c r="D1002" s="4" t="n"/>
      <c r="E1002" s="4" t="n"/>
      <c r="F1002" s="4" t="n"/>
      <c r="G1002" s="4" t="n"/>
    </row>
    <row r="1003" ht="15.75" customHeight="1">
      <c r="C1003" s="4" t="n"/>
      <c r="D1003" s="4" t="n"/>
      <c r="E1003" s="4" t="n"/>
      <c r="F1003" s="4" t="n"/>
      <c r="G1003" s="4" t="n"/>
    </row>
    <row r="1004" ht="15.75" customHeight="1">
      <c r="C1004" s="4" t="n"/>
      <c r="D1004" s="4" t="n"/>
      <c r="E1004" s="4" t="n"/>
      <c r="F1004" s="4" t="n"/>
      <c r="G1004" s="4" t="n"/>
    </row>
    <row r="1005" ht="15.75" customHeight="1">
      <c r="C1005" s="4" t="n"/>
      <c r="D1005" s="4" t="n"/>
      <c r="E1005" s="4" t="n"/>
      <c r="F1005" s="4" t="n"/>
      <c r="G1005" s="4" t="n"/>
    </row>
    <row r="1006" ht="15.75" customHeight="1">
      <c r="C1006" s="4" t="n"/>
      <c r="D1006" s="4" t="n"/>
      <c r="E1006" s="4" t="n"/>
      <c r="F1006" s="4" t="n"/>
      <c r="G1006" s="4" t="n"/>
    </row>
    <row r="1007" ht="15.75" customHeight="1">
      <c r="C1007" s="4" t="n"/>
      <c r="D1007" s="4" t="n"/>
      <c r="E1007" s="4" t="n"/>
      <c r="F1007" s="4" t="n"/>
      <c r="G1007" s="4" t="n"/>
    </row>
    <row r="1008" ht="15.75" customHeight="1">
      <c r="C1008" s="4" t="n"/>
      <c r="D1008" s="4" t="n"/>
      <c r="E1008" s="4" t="n"/>
      <c r="F1008" s="4" t="n"/>
      <c r="G1008" s="4" t="n"/>
    </row>
    <row r="1009" ht="15.75" customHeight="1">
      <c r="C1009" s="4" t="n"/>
      <c r="D1009" s="4" t="n"/>
      <c r="E1009" s="4" t="n"/>
      <c r="F1009" s="4" t="n"/>
      <c r="G1009" s="4" t="n"/>
    </row>
    <row r="1010" ht="15.75" customHeight="1">
      <c r="C1010" s="4" t="n"/>
      <c r="D1010" s="4" t="n"/>
      <c r="E1010" s="4" t="n"/>
      <c r="F1010" s="4" t="n"/>
      <c r="G1010" s="4" t="n"/>
    </row>
    <row r="1011" ht="15.75" customHeight="1">
      <c r="C1011" s="4" t="n"/>
      <c r="D1011" s="4" t="n"/>
      <c r="E1011" s="4" t="n"/>
      <c r="F1011" s="4" t="n"/>
      <c r="G1011" s="4" t="n"/>
    </row>
    <row r="1012" ht="15.75" customHeight="1">
      <c r="C1012" s="4" t="n"/>
      <c r="D1012" s="4" t="n"/>
      <c r="E1012" s="4" t="n"/>
      <c r="F1012" s="4" t="n"/>
      <c r="G1012" s="4" t="n"/>
    </row>
    <row r="1013" ht="15.75" customHeight="1">
      <c r="C1013" s="4" t="n"/>
      <c r="D1013" s="4" t="n"/>
      <c r="E1013" s="4" t="n"/>
      <c r="F1013" s="4" t="n"/>
      <c r="G1013" s="4" t="n"/>
    </row>
    <row r="1014" ht="15.75" customHeight="1">
      <c r="C1014" s="4" t="n"/>
      <c r="D1014" s="4" t="n"/>
      <c r="E1014" s="4" t="n"/>
      <c r="F1014" s="4" t="n"/>
      <c r="G1014" s="4" t="n"/>
    </row>
    <row r="1015" ht="15.75" customHeight="1">
      <c r="C1015" s="4" t="n"/>
      <c r="D1015" s="4" t="n"/>
      <c r="E1015" s="4" t="n"/>
      <c r="F1015" s="4" t="n"/>
      <c r="G1015" s="4" t="n"/>
    </row>
    <row r="1016" ht="15.75" customHeight="1">
      <c r="C1016" s="4" t="n"/>
      <c r="D1016" s="4" t="n"/>
      <c r="E1016" s="4" t="n"/>
      <c r="F1016" s="4" t="n"/>
      <c r="G1016" s="4" t="n"/>
    </row>
    <row r="1017" ht="15.75" customHeight="1">
      <c r="C1017" s="4" t="n"/>
      <c r="D1017" s="4" t="n"/>
      <c r="E1017" s="4" t="n"/>
      <c r="F1017" s="4" t="n"/>
      <c r="G1017" s="4" t="n"/>
    </row>
    <row r="1018" ht="15.75" customHeight="1">
      <c r="C1018" s="4" t="n"/>
      <c r="D1018" s="4" t="n"/>
      <c r="E1018" s="4" t="n"/>
      <c r="F1018" s="4" t="n"/>
      <c r="G1018" s="4" t="n"/>
    </row>
    <row r="1019" ht="15.75" customHeight="1">
      <c r="C1019" s="4" t="n"/>
      <c r="D1019" s="4" t="n"/>
      <c r="E1019" s="4" t="n"/>
      <c r="F1019" s="4" t="n"/>
      <c r="G1019" s="4" t="n"/>
    </row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89"/>
  <sheetViews>
    <sheetView showGridLines="0" workbookViewId="0">
      <pane xSplit="1" ySplit="4" topLeftCell="D5" activePane="bottomRight" state="frozen"/>
      <selection activeCell="B7" sqref="B7"/>
      <selection pane="topRight" activeCell="B7" sqref="B7"/>
      <selection pane="bottomLeft" activeCell="B7" sqref="B7"/>
      <selection pane="bottomRight" activeCell="D5" sqref="D5"/>
    </sheetView>
  </sheetViews>
  <sheetFormatPr baseColWidth="8" defaultColWidth="12.6640625" defaultRowHeight="15" customHeight="1"/>
  <cols>
    <col width="27.9140625" customWidth="1" min="1" max="1"/>
    <col width="24.5" customWidth="1" min="2" max="2"/>
    <col width="16.1640625" customWidth="1" min="3" max="3"/>
    <col width="13.9140625" customWidth="1" min="4" max="4"/>
    <col width="8.75" customWidth="1" min="6" max="7"/>
    <col width="10.5" customWidth="1" min="8" max="9"/>
    <col width="14.4140625" customWidth="1" min="10" max="14"/>
    <col width="26.08203125" customWidth="1" min="15" max="15"/>
    <col width="5.1640625" customWidth="1" min="16" max="16"/>
  </cols>
  <sheetData>
    <row r="1" ht="14.5" customHeight="1">
      <c r="A1" s="1" t="inlineStr">
        <is>
          <t>Questions</t>
        </is>
      </c>
      <c r="B1" s="2" t="inlineStr">
        <is>
          <t>Details to be filled by Client</t>
        </is>
      </c>
      <c r="E1" s="22" t="n"/>
    </row>
    <row r="2" ht="14" customHeight="1">
      <c r="B2" s="4" t="n"/>
      <c r="E2" t="n"/>
    </row>
    <row r="3" ht="14" customHeight="1">
      <c r="B3" s="4" t="n"/>
      <c r="D3" s="117" t="n"/>
      <c r="E3" s="22" t="n"/>
    </row>
    <row r="4" ht="52" customHeight="1">
      <c r="A4" s="27" t="inlineStr">
        <is>
          <t>Family Details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</row>
    <row r="5" ht="14" customHeight="1">
      <c r="A5" s="23" t="inlineStr">
        <is>
          <t>Client Name</t>
        </is>
      </c>
      <c r="B5" s="25" t="n"/>
      <c r="C5" s="118" t="n"/>
      <c r="D5" s="524">
        <f>(D$3-C5)/365.25</f>
        <v/>
      </c>
      <c r="E5" s="374">
        <f>IF(H5&gt;0,(ROUND($E$2+(H5-D5),0)),"NA")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</row>
    <row r="6" ht="14" customHeight="1">
      <c r="A6" s="23" t="inlineStr">
        <is>
          <t>Spouse Name</t>
        </is>
      </c>
      <c r="B6" s="25" t="n"/>
      <c r="C6" s="118" t="n"/>
      <c r="D6" s="524">
        <f>(D$3-C6)/365.25</f>
        <v/>
      </c>
      <c r="E6" s="374">
        <f>IF(H6&gt;0,(ROUND($E$2+(H6-D6),0)),"NA")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</row>
    <row r="7" ht="14" customHeight="1">
      <c r="A7" s="23" t="inlineStr">
        <is>
          <t>Child 1 Name</t>
        </is>
      </c>
      <c r="B7" s="25" t="n"/>
      <c r="C7" s="118" t="n"/>
      <c r="D7" s="524">
        <f>(D$3-C7)/365.25</f>
        <v/>
      </c>
      <c r="E7" s="374">
        <f>IF(H7&gt;0,(ROUND($E$2+(H7-D7),0)),"NA")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</row>
    <row r="8" ht="14" customHeight="1">
      <c r="A8" s="23" t="inlineStr">
        <is>
          <t>Child 2 Name</t>
        </is>
      </c>
      <c r="B8" s="25" t="n"/>
      <c r="C8" s="118" t="n"/>
      <c r="D8" s="524">
        <f>(D$3-C8)/365.25</f>
        <v/>
      </c>
      <c r="E8" s="374">
        <f>IF(H8&gt;0,(ROUND($E$2+(H8-D8),0)),"NA")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4" customHeight="1">
      <c r="A9" s="23" t="inlineStr">
        <is>
          <t>Child 3 Name</t>
        </is>
      </c>
      <c r="B9" s="26" t="n"/>
      <c r="C9" s="24" t="n"/>
      <c r="D9" s="24" t="n"/>
      <c r="E9" s="374">
        <f>IF(H9&gt;0,(ROUND($E$2+(H9-D9),0)),"NA")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5.75" customHeight="1">
      <c r="A10" s="23" t="inlineStr">
        <is>
          <t>Father</t>
        </is>
      </c>
      <c r="B10" s="25" t="n"/>
      <c r="C10" s="24" t="n"/>
      <c r="D10" s="24" t="n"/>
      <c r="E10" s="375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</row>
    <row r="11" ht="15.75" customHeight="1">
      <c r="A11" s="23" t="inlineStr">
        <is>
          <t>Mother</t>
        </is>
      </c>
      <c r="B11" s="25" t="n"/>
      <c r="C11" s="118" t="n"/>
      <c r="D11" s="524">
        <f>(D$3-C11)/365.25</f>
        <v/>
      </c>
      <c r="E11" s="375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</row>
    <row r="12" ht="15.75" customHeight="1">
      <c r="A12" s="23" t="inlineStr">
        <is>
          <t>Other Dependents 1</t>
        </is>
      </c>
      <c r="B12" s="25" t="n"/>
      <c r="C12" s="24" t="n"/>
      <c r="D12" s="24" t="n"/>
      <c r="E12" s="375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</row>
    <row r="13" ht="15.75" customHeight="1">
      <c r="A13" s="23" t="inlineStr">
        <is>
          <t>Other Dependents 2</t>
        </is>
      </c>
      <c r="B13" s="25" t="n"/>
      <c r="C13" s="24" t="n"/>
      <c r="D13" s="24" t="n"/>
      <c r="E13" s="375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</row>
    <row r="14" ht="15.75" customHeight="1">
      <c r="B14" s="4" t="n"/>
    </row>
    <row r="15" ht="15.75" customHeight="1">
      <c r="B15" s="4" t="n"/>
    </row>
    <row r="16" ht="15.75" customHeight="1">
      <c r="B16" s="4" t="n"/>
    </row>
    <row r="17" ht="15.75" customHeight="1">
      <c r="B17" s="4" t="n"/>
    </row>
    <row r="18" ht="15.75" customHeight="1">
      <c r="B18" s="4" t="n"/>
    </row>
    <row r="19" ht="15.75" customHeight="1">
      <c r="B19" s="4" t="n"/>
    </row>
    <row r="20" ht="15.75" customHeight="1">
      <c r="B20" s="4" t="n"/>
    </row>
    <row r="21" ht="15.75" customHeight="1">
      <c r="B21" s="4" t="n"/>
    </row>
    <row r="22" ht="15.75" customHeight="1">
      <c r="B22" s="4" t="n"/>
    </row>
    <row r="23" ht="15.75" customHeight="1">
      <c r="B23" s="4" t="n"/>
    </row>
    <row r="24" ht="15.75" customHeight="1">
      <c r="B24" s="4" t="n"/>
    </row>
    <row r="25" ht="15.75" customHeight="1">
      <c r="B25" s="4" t="n"/>
    </row>
    <row r="26" ht="15.75" customHeight="1">
      <c r="B26" s="4" t="n"/>
    </row>
    <row r="27" ht="15.75" customHeight="1">
      <c r="B27" s="4" t="n"/>
    </row>
    <row r="28" ht="15.75" customHeight="1">
      <c r="B28" s="4" t="n"/>
    </row>
    <row r="29" ht="15.75" customHeight="1">
      <c r="B29" s="4" t="n"/>
    </row>
    <row r="30" ht="15.75" customHeight="1">
      <c r="B30" s="4" t="n"/>
    </row>
    <row r="31" ht="15.75" customHeight="1">
      <c r="B31" s="4" t="n"/>
    </row>
    <row r="32" ht="15.75" customHeight="1">
      <c r="B32" s="4" t="n"/>
    </row>
    <row r="33" ht="15.75" customHeight="1">
      <c r="B33" s="4" t="n"/>
    </row>
    <row r="34" ht="15.75" customHeight="1">
      <c r="B34" s="4" t="n"/>
    </row>
    <row r="35" ht="15.75" customHeight="1">
      <c r="B35" s="4" t="n"/>
    </row>
    <row r="36" ht="15.75" customHeight="1">
      <c r="B36" s="4" t="n"/>
    </row>
    <row r="37" ht="15.75" customHeight="1">
      <c r="B37" s="4" t="n"/>
    </row>
    <row r="38" ht="15.75" customHeight="1">
      <c r="B38" s="4" t="n"/>
    </row>
    <row r="39" ht="15.75" customHeight="1">
      <c r="B39" s="4" t="n"/>
    </row>
    <row r="40" ht="15.75" customHeight="1">
      <c r="B40" s="4" t="n"/>
    </row>
    <row r="41" ht="15.75" customHeight="1">
      <c r="B41" s="4" t="n"/>
    </row>
    <row r="42" ht="15.75" customHeight="1">
      <c r="B42" s="4" t="n"/>
    </row>
    <row r="43" ht="15.75" customHeight="1">
      <c r="B43" s="4" t="n"/>
    </row>
    <row r="44" ht="15.75" customHeight="1">
      <c r="B44" s="4" t="n"/>
    </row>
    <row r="45" ht="15.75" customHeight="1">
      <c r="B45" s="4" t="n"/>
    </row>
    <row r="46" ht="15.75" customHeight="1">
      <c r="B46" s="4" t="n"/>
    </row>
    <row r="47" ht="15.75" customHeight="1">
      <c r="B47" s="4" t="n"/>
    </row>
    <row r="48" ht="15.75" customHeight="1">
      <c r="B48" s="4" t="n"/>
    </row>
    <row r="49" ht="15.75" customHeight="1">
      <c r="B49" s="4" t="n"/>
    </row>
    <row r="50" ht="15.75" customHeight="1">
      <c r="B50" s="4" t="n"/>
    </row>
    <row r="51" ht="15.75" customHeight="1">
      <c r="B51" s="4" t="n"/>
    </row>
    <row r="52" ht="15.75" customHeight="1">
      <c r="B52" s="4" t="n"/>
    </row>
    <row r="53" ht="15.75" customHeight="1">
      <c r="B53" s="4" t="n"/>
    </row>
    <row r="54" ht="15.75" customHeight="1">
      <c r="B54" s="4" t="n"/>
    </row>
    <row r="55" ht="15.75" customHeight="1">
      <c r="B55" s="4" t="n"/>
    </row>
    <row r="56" ht="15.75" customHeight="1">
      <c r="B56" s="4" t="n"/>
    </row>
    <row r="57" ht="15.75" customHeight="1">
      <c r="B57" s="4" t="n"/>
    </row>
    <row r="58" ht="15.75" customHeight="1">
      <c r="B58" s="4" t="n"/>
    </row>
    <row r="59" ht="15.75" customHeight="1">
      <c r="B59" s="4" t="n"/>
    </row>
    <row r="60" ht="15.75" customHeight="1">
      <c r="B60" s="4" t="n"/>
    </row>
    <row r="61" ht="15.75" customHeight="1">
      <c r="B61" s="4" t="n"/>
    </row>
    <row r="62" ht="15.75" customHeight="1">
      <c r="B62" s="4" t="n"/>
    </row>
    <row r="63" ht="15.75" customHeight="1">
      <c r="B63" s="4" t="n"/>
    </row>
    <row r="64" ht="15.75" customHeight="1">
      <c r="B64" s="4" t="n"/>
    </row>
    <row r="65" ht="15.75" customHeight="1">
      <c r="B65" s="4" t="n"/>
    </row>
    <row r="66" ht="15.75" customHeight="1">
      <c r="B66" s="4" t="n"/>
    </row>
    <row r="67" ht="15.75" customHeight="1">
      <c r="B67" s="4" t="n"/>
    </row>
    <row r="68" ht="15.75" customHeight="1">
      <c r="B68" s="4" t="n"/>
    </row>
    <row r="69" ht="15.75" customHeight="1">
      <c r="B69" s="4" t="n"/>
    </row>
    <row r="70" ht="15.75" customHeight="1">
      <c r="B70" s="4" t="n"/>
    </row>
    <row r="71" ht="15.75" customHeight="1">
      <c r="B71" s="4" t="n"/>
    </row>
    <row r="72" ht="15.75" customHeight="1">
      <c r="B72" s="4" t="n"/>
    </row>
    <row r="73" ht="15.75" customHeight="1">
      <c r="B73" s="4" t="n"/>
    </row>
    <row r="74" ht="15.75" customHeight="1">
      <c r="B74" s="4" t="n"/>
    </row>
    <row r="75" ht="15.75" customHeight="1">
      <c r="B75" s="4" t="n"/>
    </row>
    <row r="76" ht="15.75" customHeight="1">
      <c r="B76" s="4" t="n"/>
    </row>
    <row r="77" ht="15.75" customHeight="1">
      <c r="B77" s="4" t="n"/>
    </row>
    <row r="78" ht="15.75" customHeight="1">
      <c r="B78" s="4" t="n"/>
    </row>
    <row r="79" ht="15.75" customHeight="1">
      <c r="B79" s="4" t="n"/>
    </row>
    <row r="80" ht="15.75" customHeight="1">
      <c r="B80" s="4" t="n"/>
    </row>
    <row r="81" ht="15.75" customHeight="1">
      <c r="B81" s="4" t="n"/>
    </row>
    <row r="82" ht="15.75" customHeight="1">
      <c r="B82" s="4" t="n"/>
    </row>
    <row r="83" ht="15.75" customHeight="1">
      <c r="B83" s="4" t="n"/>
    </row>
    <row r="84" ht="15.75" customHeight="1">
      <c r="B84" s="4" t="n"/>
    </row>
    <row r="85" ht="15.75" customHeight="1">
      <c r="B85" s="4" t="n"/>
    </row>
    <row r="86" ht="15.75" customHeight="1">
      <c r="B86" s="4" t="n"/>
    </row>
    <row r="87" ht="15.75" customHeight="1">
      <c r="B87" s="4" t="n"/>
    </row>
    <row r="88" ht="15.75" customHeight="1">
      <c r="B88" s="4" t="n"/>
    </row>
    <row r="89" ht="15.75" customHeight="1">
      <c r="B89" s="4" t="n"/>
    </row>
    <row r="90" ht="15.75" customHeight="1">
      <c r="B90" s="4" t="n"/>
    </row>
    <row r="91" ht="15.75" customHeight="1">
      <c r="B91" s="4" t="n"/>
    </row>
    <row r="92" ht="15.75" customHeight="1">
      <c r="B92" s="4" t="n"/>
    </row>
    <row r="93" ht="15.75" customHeight="1">
      <c r="B93" s="4" t="n"/>
    </row>
    <row r="94" ht="15.75" customHeight="1">
      <c r="B94" s="4" t="n"/>
    </row>
    <row r="95" ht="15.75" customHeight="1">
      <c r="B95" s="4" t="n"/>
    </row>
    <row r="96" ht="15.75" customHeight="1">
      <c r="B96" s="4" t="n"/>
    </row>
    <row r="97" ht="15.75" customHeight="1">
      <c r="B97" s="4" t="n"/>
    </row>
    <row r="98" ht="15.75" customHeight="1">
      <c r="B98" s="4" t="n"/>
    </row>
    <row r="99" ht="15.75" customHeight="1">
      <c r="B99" s="4" t="n"/>
    </row>
    <row r="100" ht="15.75" customHeight="1">
      <c r="B100" s="4" t="n"/>
    </row>
    <row r="101" ht="15.75" customHeight="1">
      <c r="B101" s="4" t="n"/>
    </row>
    <row r="102" ht="15.75" customHeight="1">
      <c r="B102" s="4" t="n"/>
    </row>
    <row r="103" ht="15.75" customHeight="1">
      <c r="B103" s="4" t="n"/>
    </row>
    <row r="104" ht="15.75" customHeight="1">
      <c r="B104" s="4" t="n"/>
    </row>
    <row r="105" ht="15.75" customHeight="1">
      <c r="B105" s="4" t="n"/>
    </row>
    <row r="106" ht="15.75" customHeight="1">
      <c r="B106" s="4" t="n"/>
    </row>
    <row r="107" ht="15.75" customHeight="1">
      <c r="B107" s="4" t="n"/>
    </row>
    <row r="108" ht="15.75" customHeight="1">
      <c r="B108" s="4" t="n"/>
    </row>
    <row r="109" ht="15.75" customHeight="1">
      <c r="B109" s="4" t="n"/>
    </row>
    <row r="110" ht="15.75" customHeight="1">
      <c r="B110" s="4" t="n"/>
    </row>
    <row r="111" ht="15.75" customHeight="1">
      <c r="B111" s="4" t="n"/>
    </row>
    <row r="112" ht="15.75" customHeight="1">
      <c r="B112" s="4" t="n"/>
    </row>
    <row r="113" ht="15.75" customHeight="1">
      <c r="B113" s="4" t="n"/>
    </row>
    <row r="114" ht="15.75" customHeight="1">
      <c r="B114" s="4" t="n"/>
    </row>
    <row r="115" ht="15.75" customHeight="1">
      <c r="B115" s="4" t="n"/>
    </row>
    <row r="116" ht="15.75" customHeight="1">
      <c r="B116" s="4" t="n"/>
    </row>
    <row r="117" ht="15.75" customHeight="1">
      <c r="B117" s="4" t="n"/>
    </row>
    <row r="118" ht="15.75" customHeight="1">
      <c r="B118" s="4" t="n"/>
    </row>
    <row r="119" ht="15.75" customHeight="1">
      <c r="B119" s="4" t="n"/>
    </row>
    <row r="120" ht="15.75" customHeight="1">
      <c r="B120" s="4" t="n"/>
    </row>
    <row r="121" ht="15.75" customHeight="1">
      <c r="B121" s="4" t="n"/>
    </row>
    <row r="122" ht="15.75" customHeight="1">
      <c r="B122" s="4" t="n"/>
    </row>
    <row r="123" ht="15.75" customHeight="1">
      <c r="B123" s="4" t="n"/>
    </row>
    <row r="124" ht="15.75" customHeight="1">
      <c r="B124" s="4" t="n"/>
    </row>
    <row r="125" ht="15.75" customHeight="1">
      <c r="B125" s="4" t="n"/>
    </row>
    <row r="126" ht="15.75" customHeight="1">
      <c r="B126" s="4" t="n"/>
    </row>
    <row r="127" ht="15.75" customHeight="1">
      <c r="B127" s="4" t="n"/>
    </row>
    <row r="128" ht="15.75" customHeight="1">
      <c r="B128" s="4" t="n"/>
    </row>
    <row r="129" ht="15.75" customHeight="1">
      <c r="B129" s="4" t="n"/>
    </row>
    <row r="130" ht="15.75" customHeight="1">
      <c r="B130" s="4" t="n"/>
    </row>
    <row r="131" ht="15.75" customHeight="1">
      <c r="B131" s="4" t="n"/>
    </row>
    <row r="132" ht="15.75" customHeight="1">
      <c r="B132" s="4" t="n"/>
    </row>
    <row r="133" ht="15.75" customHeight="1">
      <c r="B133" s="4" t="n"/>
    </row>
    <row r="134" ht="15.75" customHeight="1">
      <c r="B134" s="4" t="n"/>
    </row>
    <row r="135" ht="15.75" customHeight="1">
      <c r="B135" s="4" t="n"/>
    </row>
    <row r="136" ht="15.75" customHeight="1">
      <c r="B136" s="4" t="n"/>
    </row>
    <row r="137" ht="15.75" customHeight="1">
      <c r="B137" s="4" t="n"/>
    </row>
    <row r="138" ht="15.75" customHeight="1">
      <c r="B138" s="4" t="n"/>
    </row>
    <row r="139" ht="15.75" customHeight="1">
      <c r="B139" s="4" t="n"/>
    </row>
    <row r="140" ht="15.75" customHeight="1">
      <c r="B140" s="4" t="n"/>
    </row>
    <row r="141" ht="15.75" customHeight="1">
      <c r="B141" s="4" t="n"/>
    </row>
    <row r="142" ht="15.75" customHeight="1">
      <c r="B142" s="4" t="n"/>
    </row>
    <row r="143" ht="15.75" customHeight="1">
      <c r="B143" s="4" t="n"/>
    </row>
    <row r="144" ht="15.75" customHeight="1">
      <c r="B144" s="4" t="n"/>
    </row>
    <row r="145" ht="15.75" customHeight="1">
      <c r="B145" s="4" t="n"/>
    </row>
    <row r="146" ht="15.75" customHeight="1">
      <c r="B146" s="4" t="n"/>
    </row>
    <row r="147" ht="15.75" customHeight="1">
      <c r="B147" s="4" t="n"/>
    </row>
    <row r="148" ht="15.75" customHeight="1">
      <c r="B148" s="4" t="n"/>
    </row>
    <row r="149" ht="15.75" customHeight="1">
      <c r="B149" s="4" t="n"/>
    </row>
    <row r="150" ht="15.75" customHeight="1">
      <c r="B150" s="4" t="n"/>
    </row>
    <row r="151" ht="15.75" customHeight="1">
      <c r="B151" s="4" t="n"/>
    </row>
    <row r="152" ht="15.75" customHeight="1">
      <c r="B152" s="4" t="n"/>
    </row>
    <row r="153" ht="15.75" customHeight="1">
      <c r="B153" s="4" t="n"/>
    </row>
    <row r="154" ht="15.75" customHeight="1">
      <c r="B154" s="4" t="n"/>
    </row>
    <row r="155" ht="15.75" customHeight="1">
      <c r="B155" s="4" t="n"/>
    </row>
    <row r="156" ht="15.75" customHeight="1">
      <c r="B156" s="4" t="n"/>
    </row>
    <row r="157" ht="15.75" customHeight="1">
      <c r="B157" s="4" t="n"/>
    </row>
    <row r="158" ht="15.75" customHeight="1">
      <c r="B158" s="4" t="n"/>
    </row>
    <row r="159" ht="15.75" customHeight="1">
      <c r="B159" s="4" t="n"/>
    </row>
    <row r="160" ht="15.75" customHeight="1">
      <c r="B160" s="4" t="n"/>
    </row>
    <row r="161" ht="15.75" customHeight="1">
      <c r="B161" s="4" t="n"/>
    </row>
    <row r="162" ht="15.75" customHeight="1">
      <c r="B162" s="4" t="n"/>
    </row>
    <row r="163" ht="15.75" customHeight="1">
      <c r="B163" s="4" t="n"/>
    </row>
    <row r="164" ht="15.75" customHeight="1">
      <c r="B164" s="4" t="n"/>
    </row>
    <row r="165" ht="15.75" customHeight="1">
      <c r="B165" s="4" t="n"/>
    </row>
    <row r="166" ht="15.75" customHeight="1">
      <c r="B166" s="4" t="n"/>
    </row>
    <row r="167" ht="15.75" customHeight="1">
      <c r="B167" s="4" t="n"/>
    </row>
    <row r="168" ht="15.75" customHeight="1">
      <c r="B168" s="4" t="n"/>
    </row>
    <row r="169" ht="15.75" customHeight="1">
      <c r="B169" s="4" t="n"/>
    </row>
    <row r="170" ht="15.75" customHeight="1">
      <c r="B170" s="4" t="n"/>
    </row>
    <row r="171" ht="15.75" customHeight="1">
      <c r="B171" s="4" t="n"/>
    </row>
    <row r="172" ht="15.75" customHeight="1">
      <c r="B172" s="4" t="n"/>
    </row>
    <row r="173" ht="15.75" customHeight="1">
      <c r="B173" s="4" t="n"/>
    </row>
    <row r="174" ht="15.75" customHeight="1">
      <c r="B174" s="4" t="n"/>
    </row>
    <row r="175" ht="15.75" customHeight="1">
      <c r="B175" s="4" t="n"/>
    </row>
    <row r="176" ht="15.75" customHeight="1">
      <c r="B176" s="4" t="n"/>
    </row>
    <row r="177" ht="15.75" customHeight="1">
      <c r="B177" s="4" t="n"/>
    </row>
    <row r="178" ht="15.75" customHeight="1">
      <c r="B178" s="4" t="n"/>
    </row>
    <row r="179" ht="15.75" customHeight="1">
      <c r="B179" s="4" t="n"/>
    </row>
    <row r="180" ht="15.75" customHeight="1">
      <c r="B180" s="4" t="n"/>
    </row>
    <row r="181" ht="15.75" customHeight="1">
      <c r="B181" s="4" t="n"/>
    </row>
    <row r="182" ht="15.75" customHeight="1">
      <c r="B182" s="4" t="n"/>
    </row>
    <row r="183" ht="15.75" customHeight="1">
      <c r="B183" s="4" t="n"/>
    </row>
    <row r="184" ht="15.75" customHeight="1">
      <c r="B184" s="4" t="n"/>
    </row>
    <row r="185" ht="15.75" customHeight="1">
      <c r="B185" s="4" t="n"/>
    </row>
    <row r="186" ht="15.75" customHeight="1">
      <c r="B186" s="4" t="n"/>
    </row>
    <row r="187" ht="15.75" customHeight="1">
      <c r="B187" s="4" t="n"/>
    </row>
    <row r="188" ht="15.75" customHeight="1">
      <c r="B188" s="4" t="n"/>
    </row>
    <row r="189" ht="15.75" customHeight="1">
      <c r="B189" s="4" t="n"/>
    </row>
    <row r="190" ht="15.75" customHeight="1">
      <c r="B190" s="4" t="n"/>
    </row>
    <row r="191" ht="15.75" customHeight="1">
      <c r="B191" s="4" t="n"/>
    </row>
    <row r="192" ht="15.75" customHeight="1">
      <c r="B192" s="4" t="n"/>
    </row>
    <row r="193" ht="15.75" customHeight="1">
      <c r="B193" s="4" t="n"/>
    </row>
    <row r="194" ht="15.75" customHeight="1">
      <c r="B194" s="4" t="n"/>
    </row>
    <row r="195" ht="15.75" customHeight="1">
      <c r="B195" s="4" t="n"/>
    </row>
    <row r="196" ht="15.75" customHeight="1">
      <c r="B196" s="4" t="n"/>
    </row>
    <row r="197" ht="15.75" customHeight="1">
      <c r="B197" s="4" t="n"/>
    </row>
    <row r="198" ht="15.75" customHeight="1">
      <c r="B198" s="4" t="n"/>
    </row>
    <row r="199" ht="15.75" customHeight="1">
      <c r="B199" s="4" t="n"/>
    </row>
    <row r="200" ht="15.75" customHeight="1">
      <c r="B200" s="4" t="n"/>
    </row>
    <row r="201" ht="15.75" customHeight="1">
      <c r="B201" s="4" t="n"/>
    </row>
    <row r="202" ht="15.75" customHeight="1">
      <c r="B202" s="4" t="n"/>
    </row>
    <row r="203" ht="15.75" customHeight="1">
      <c r="B203" s="4" t="n"/>
    </row>
    <row r="204" ht="15.75" customHeight="1">
      <c r="B204" s="4" t="n"/>
    </row>
    <row r="205" ht="15.75" customHeight="1">
      <c r="B205" s="4" t="n"/>
    </row>
    <row r="206" ht="15.75" customHeight="1">
      <c r="B206" s="4" t="n"/>
    </row>
    <row r="207" ht="15.75" customHeight="1">
      <c r="B207" s="4" t="n"/>
    </row>
    <row r="208" ht="15.75" customHeight="1">
      <c r="B208" s="4" t="n"/>
    </row>
    <row r="209" ht="15.75" customHeight="1">
      <c r="B209" s="4" t="n"/>
    </row>
    <row r="210" ht="15.75" customHeight="1">
      <c r="B210" s="4" t="n"/>
    </row>
    <row r="211" ht="15.75" customHeight="1">
      <c r="B211" s="4" t="n"/>
    </row>
    <row r="212" ht="15.75" customHeight="1">
      <c r="B212" s="4" t="n"/>
    </row>
    <row r="213" ht="15.75" customHeight="1">
      <c r="B213" s="4" t="n"/>
    </row>
    <row r="214" ht="15.75" customHeight="1">
      <c r="B214" s="4" t="n"/>
    </row>
    <row r="215" ht="15.75" customHeight="1">
      <c r="B215" s="4" t="n"/>
    </row>
    <row r="216" ht="15.75" customHeight="1">
      <c r="B216" s="4" t="n"/>
    </row>
    <row r="217" ht="15.75" customHeight="1">
      <c r="B217" s="4" t="n"/>
    </row>
    <row r="218" ht="15.75" customHeight="1">
      <c r="B218" s="4" t="n"/>
    </row>
    <row r="219" ht="15.75" customHeight="1">
      <c r="B219" s="4" t="n"/>
    </row>
    <row r="220" ht="15.75" customHeight="1">
      <c r="B220" s="4" t="n"/>
    </row>
    <row r="221" ht="15.75" customHeight="1">
      <c r="B221" s="4" t="n"/>
    </row>
    <row r="222" ht="15.75" customHeight="1">
      <c r="B222" s="4" t="n"/>
    </row>
    <row r="223" ht="15.75" customHeight="1">
      <c r="B223" s="4" t="n"/>
    </row>
    <row r="224" ht="15.75" customHeight="1">
      <c r="B224" s="4" t="n"/>
    </row>
    <row r="225" ht="15.75" customHeight="1">
      <c r="B225" s="4" t="n"/>
    </row>
    <row r="226" ht="15.75" customHeight="1">
      <c r="B226" s="4" t="n"/>
    </row>
    <row r="227" ht="15.75" customHeight="1">
      <c r="B227" s="4" t="n"/>
    </row>
    <row r="228" ht="15.75" customHeight="1">
      <c r="B228" s="4" t="n"/>
    </row>
    <row r="229" ht="15.75" customHeight="1">
      <c r="B229" s="4" t="n"/>
    </row>
    <row r="230" ht="15.75" customHeight="1">
      <c r="B230" s="4" t="n"/>
    </row>
    <row r="231" ht="15.75" customHeight="1">
      <c r="B231" s="4" t="n"/>
    </row>
    <row r="232" ht="15.75" customHeight="1">
      <c r="B232" s="4" t="n"/>
    </row>
    <row r="233" ht="15.75" customHeight="1">
      <c r="B233" s="4" t="n"/>
    </row>
    <row r="234" ht="15.75" customHeight="1">
      <c r="B234" s="4" t="n"/>
    </row>
    <row r="235" ht="15.75" customHeight="1">
      <c r="B235" s="4" t="n"/>
    </row>
    <row r="236" ht="15.75" customHeight="1">
      <c r="B236" s="4" t="n"/>
    </row>
    <row r="237" ht="15.75" customHeight="1">
      <c r="B237" s="4" t="n"/>
    </row>
    <row r="238" ht="15.75" customHeight="1">
      <c r="B238" s="4" t="n"/>
    </row>
    <row r="239" ht="15.75" customHeight="1">
      <c r="B239" s="4" t="n"/>
    </row>
    <row r="240" ht="15.75" customHeight="1">
      <c r="B240" s="4" t="n"/>
    </row>
    <row r="241" ht="15.75" customHeight="1">
      <c r="B241" s="4" t="n"/>
    </row>
    <row r="242" ht="15.75" customHeight="1">
      <c r="B242" s="4" t="n"/>
    </row>
    <row r="243" ht="15.75" customHeight="1">
      <c r="B243" s="4" t="n"/>
    </row>
    <row r="244" ht="15.75" customHeight="1">
      <c r="B244" s="4" t="n"/>
    </row>
    <row r="245" ht="15.75" customHeight="1">
      <c r="B245" s="4" t="n"/>
    </row>
    <row r="246" ht="15.75" customHeight="1">
      <c r="B246" s="4" t="n"/>
    </row>
    <row r="247" ht="15.75" customHeight="1">
      <c r="B247" s="4" t="n"/>
    </row>
    <row r="248" ht="15.75" customHeight="1">
      <c r="B248" s="4" t="n"/>
    </row>
    <row r="249" ht="15.75" customHeight="1">
      <c r="B249" s="4" t="n"/>
    </row>
    <row r="250" ht="15.75" customHeight="1">
      <c r="B250" s="4" t="n"/>
    </row>
    <row r="251" ht="15.75" customHeight="1">
      <c r="B251" s="4" t="n"/>
    </row>
    <row r="252" ht="15.75" customHeight="1">
      <c r="B252" s="4" t="n"/>
    </row>
    <row r="253" ht="15.75" customHeight="1">
      <c r="B253" s="4" t="n"/>
    </row>
    <row r="254" ht="15.75" customHeight="1">
      <c r="B254" s="4" t="n"/>
    </row>
    <row r="255" ht="15.75" customHeight="1">
      <c r="B255" s="4" t="n"/>
    </row>
    <row r="256" ht="15.75" customHeight="1">
      <c r="B256" s="4" t="n"/>
    </row>
    <row r="257" ht="15.75" customHeight="1">
      <c r="B257" s="4" t="n"/>
    </row>
    <row r="258" ht="15.75" customHeight="1">
      <c r="B258" s="4" t="n"/>
    </row>
    <row r="259" ht="15.75" customHeight="1">
      <c r="B259" s="4" t="n"/>
    </row>
    <row r="260" ht="15.75" customHeight="1">
      <c r="B260" s="4" t="n"/>
    </row>
    <row r="261" ht="15.75" customHeight="1">
      <c r="B261" s="4" t="n"/>
    </row>
    <row r="262" ht="15.75" customHeight="1">
      <c r="B262" s="4" t="n"/>
    </row>
    <row r="263" ht="15.75" customHeight="1">
      <c r="B263" s="4" t="n"/>
    </row>
    <row r="264" ht="15.75" customHeight="1">
      <c r="B264" s="4" t="n"/>
    </row>
    <row r="265" ht="15.75" customHeight="1">
      <c r="B265" s="4" t="n"/>
    </row>
    <row r="266" ht="15.75" customHeight="1">
      <c r="B266" s="4" t="n"/>
    </row>
    <row r="267" ht="15.75" customHeight="1">
      <c r="B267" s="4" t="n"/>
    </row>
    <row r="268" ht="15.75" customHeight="1">
      <c r="B268" s="4" t="n"/>
    </row>
    <row r="269" ht="15.75" customHeight="1">
      <c r="B269" s="4" t="n"/>
    </row>
    <row r="270" ht="15.75" customHeight="1">
      <c r="B270" s="4" t="n"/>
    </row>
    <row r="271" ht="15.75" customHeight="1">
      <c r="B271" s="4" t="n"/>
    </row>
    <row r="272" ht="15.75" customHeight="1">
      <c r="B272" s="4" t="n"/>
    </row>
    <row r="273" ht="15.75" customHeight="1">
      <c r="B273" s="4" t="n"/>
    </row>
    <row r="274" ht="15.75" customHeight="1">
      <c r="B274" s="4" t="n"/>
    </row>
    <row r="275" ht="15.75" customHeight="1">
      <c r="B275" s="4" t="n"/>
    </row>
    <row r="276" ht="15.75" customHeight="1">
      <c r="B276" s="4" t="n"/>
    </row>
    <row r="277" ht="15.75" customHeight="1">
      <c r="B277" s="4" t="n"/>
    </row>
    <row r="278" ht="15.75" customHeight="1">
      <c r="B278" s="4" t="n"/>
    </row>
    <row r="279" ht="15.75" customHeight="1">
      <c r="B279" s="4" t="n"/>
    </row>
    <row r="280" ht="15.75" customHeight="1">
      <c r="B280" s="4" t="n"/>
    </row>
    <row r="281" ht="15.75" customHeight="1">
      <c r="B281" s="4" t="n"/>
    </row>
    <row r="282" ht="15.75" customHeight="1">
      <c r="B282" s="4" t="n"/>
    </row>
    <row r="283" ht="15.75" customHeight="1">
      <c r="B283" s="4" t="n"/>
    </row>
    <row r="284" ht="15.75" customHeight="1">
      <c r="B284" s="4" t="n"/>
    </row>
    <row r="285" ht="15.75" customHeight="1">
      <c r="B285" s="4" t="n"/>
    </row>
    <row r="286" ht="15.75" customHeight="1">
      <c r="B286" s="4" t="n"/>
    </row>
    <row r="287" ht="15.75" customHeight="1">
      <c r="B287" s="4" t="n"/>
    </row>
    <row r="288" ht="15.75" customHeight="1">
      <c r="B288" s="4" t="n"/>
    </row>
    <row r="289" ht="15.75" customHeight="1">
      <c r="B289" s="4" t="n"/>
    </row>
    <row r="290" ht="15.75" customHeight="1">
      <c r="B290" s="4" t="n"/>
    </row>
    <row r="291" ht="15.75" customHeight="1">
      <c r="B291" s="4" t="n"/>
    </row>
    <row r="292" ht="15.75" customHeight="1">
      <c r="B292" s="4" t="n"/>
    </row>
    <row r="293" ht="15.75" customHeight="1">
      <c r="B293" s="4" t="n"/>
    </row>
    <row r="294" ht="15.75" customHeight="1">
      <c r="B294" s="4" t="n"/>
    </row>
    <row r="295" ht="15.75" customHeight="1">
      <c r="B295" s="4" t="n"/>
    </row>
    <row r="296" ht="15.75" customHeight="1">
      <c r="B296" s="4" t="n"/>
    </row>
    <row r="297" ht="15.75" customHeight="1">
      <c r="B297" s="4" t="n"/>
    </row>
    <row r="298" ht="15.75" customHeight="1">
      <c r="B298" s="4" t="n"/>
    </row>
    <row r="299" ht="15.75" customHeight="1">
      <c r="B299" s="4" t="n"/>
    </row>
    <row r="300" ht="15.75" customHeight="1">
      <c r="B300" s="4" t="n"/>
    </row>
    <row r="301" ht="15.75" customHeight="1">
      <c r="B301" s="4" t="n"/>
    </row>
    <row r="302" ht="15.75" customHeight="1">
      <c r="B302" s="4" t="n"/>
    </row>
    <row r="303" ht="15.75" customHeight="1">
      <c r="B303" s="4" t="n"/>
    </row>
    <row r="304" ht="15.75" customHeight="1">
      <c r="B304" s="4" t="n"/>
    </row>
    <row r="305" ht="15.75" customHeight="1">
      <c r="B305" s="4" t="n"/>
    </row>
    <row r="306" ht="15.75" customHeight="1">
      <c r="B306" s="4" t="n"/>
    </row>
    <row r="307" ht="15.75" customHeight="1">
      <c r="B307" s="4" t="n"/>
    </row>
    <row r="308" ht="15.75" customHeight="1">
      <c r="B308" s="4" t="n"/>
    </row>
    <row r="309" ht="15.75" customHeight="1">
      <c r="B309" s="4" t="n"/>
    </row>
    <row r="310" ht="15.75" customHeight="1">
      <c r="B310" s="4" t="n"/>
    </row>
    <row r="311" ht="15.75" customHeight="1">
      <c r="B311" s="4" t="n"/>
    </row>
    <row r="312" ht="15.75" customHeight="1">
      <c r="B312" s="4" t="n"/>
    </row>
    <row r="313" ht="15.75" customHeight="1">
      <c r="B313" s="4" t="n"/>
    </row>
    <row r="314" ht="15.75" customHeight="1">
      <c r="B314" s="4" t="n"/>
    </row>
    <row r="315" ht="15.75" customHeight="1">
      <c r="B315" s="4" t="n"/>
    </row>
    <row r="316" ht="15.75" customHeight="1">
      <c r="B316" s="4" t="n"/>
    </row>
    <row r="317" ht="15.75" customHeight="1">
      <c r="B317" s="4" t="n"/>
    </row>
    <row r="318" ht="15.75" customHeight="1">
      <c r="B318" s="4" t="n"/>
    </row>
    <row r="319" ht="15.75" customHeight="1">
      <c r="B319" s="4" t="n"/>
    </row>
    <row r="320" ht="15.75" customHeight="1">
      <c r="B320" s="4" t="n"/>
    </row>
    <row r="321" ht="15.75" customHeight="1">
      <c r="B321" s="4" t="n"/>
    </row>
    <row r="322" ht="15.75" customHeight="1">
      <c r="B322" s="4" t="n"/>
    </row>
    <row r="323" ht="15.75" customHeight="1">
      <c r="B323" s="4" t="n"/>
    </row>
    <row r="324" ht="15.75" customHeight="1">
      <c r="B324" s="4" t="n"/>
    </row>
    <row r="325" ht="15.75" customHeight="1">
      <c r="B325" s="4" t="n"/>
    </row>
    <row r="326" ht="15.75" customHeight="1">
      <c r="B326" s="4" t="n"/>
    </row>
    <row r="327" ht="15.75" customHeight="1">
      <c r="B327" s="4" t="n"/>
    </row>
    <row r="328" ht="15.75" customHeight="1">
      <c r="B328" s="4" t="n"/>
    </row>
    <row r="329" ht="15.75" customHeight="1">
      <c r="B329" s="4" t="n"/>
    </row>
    <row r="330" ht="15.75" customHeight="1">
      <c r="B330" s="4" t="n"/>
    </row>
    <row r="331" ht="15.75" customHeight="1">
      <c r="B331" s="4" t="n"/>
    </row>
    <row r="332" ht="15.75" customHeight="1">
      <c r="B332" s="4" t="n"/>
    </row>
    <row r="333" ht="15.75" customHeight="1">
      <c r="B333" s="4" t="n"/>
    </row>
    <row r="334" ht="15.75" customHeight="1">
      <c r="B334" s="4" t="n"/>
    </row>
    <row r="335" ht="15.75" customHeight="1">
      <c r="B335" s="4" t="n"/>
    </row>
    <row r="336" ht="15.75" customHeight="1">
      <c r="B336" s="4" t="n"/>
    </row>
    <row r="337" ht="15.75" customHeight="1">
      <c r="B337" s="4" t="n"/>
    </row>
    <row r="338" ht="15.75" customHeight="1">
      <c r="B338" s="4" t="n"/>
    </row>
    <row r="339" ht="15.75" customHeight="1">
      <c r="B339" s="4" t="n"/>
    </row>
    <row r="340" ht="15.75" customHeight="1">
      <c r="B340" s="4" t="n"/>
    </row>
    <row r="341" ht="15.75" customHeight="1">
      <c r="B341" s="4" t="n"/>
    </row>
    <row r="342" ht="15.75" customHeight="1">
      <c r="B342" s="4" t="n"/>
    </row>
    <row r="343" ht="15.75" customHeight="1">
      <c r="B343" s="4" t="n"/>
    </row>
    <row r="344" ht="15.75" customHeight="1">
      <c r="B344" s="4" t="n"/>
    </row>
    <row r="345" ht="15.75" customHeight="1">
      <c r="B345" s="4" t="n"/>
    </row>
    <row r="346" ht="15.75" customHeight="1">
      <c r="B346" s="4" t="n"/>
    </row>
    <row r="347" ht="15.75" customHeight="1">
      <c r="B347" s="4" t="n"/>
    </row>
    <row r="348" ht="15.75" customHeight="1">
      <c r="B348" s="4" t="n"/>
    </row>
    <row r="349" ht="15.75" customHeight="1">
      <c r="B349" s="4" t="n"/>
    </row>
    <row r="350" ht="15.75" customHeight="1">
      <c r="B350" s="4" t="n"/>
    </row>
    <row r="351" ht="15.75" customHeight="1">
      <c r="B351" s="4" t="n"/>
    </row>
    <row r="352" ht="15.75" customHeight="1">
      <c r="B352" s="4" t="n"/>
    </row>
    <row r="353" ht="15.75" customHeight="1">
      <c r="B353" s="4" t="n"/>
    </row>
    <row r="354" ht="15.75" customHeight="1">
      <c r="B354" s="4" t="n"/>
    </row>
    <row r="355" ht="15.75" customHeight="1">
      <c r="B355" s="4" t="n"/>
    </row>
    <row r="356" ht="15.75" customHeight="1">
      <c r="B356" s="4" t="n"/>
    </row>
    <row r="357" ht="15.75" customHeight="1">
      <c r="B357" s="4" t="n"/>
    </row>
    <row r="358" ht="15.75" customHeight="1">
      <c r="B358" s="4" t="n"/>
    </row>
    <row r="359" ht="15.75" customHeight="1">
      <c r="B359" s="4" t="n"/>
    </row>
    <row r="360" ht="15.75" customHeight="1">
      <c r="B360" s="4" t="n"/>
    </row>
    <row r="361" ht="15.75" customHeight="1">
      <c r="B361" s="4" t="n"/>
    </row>
    <row r="362" ht="15.75" customHeight="1">
      <c r="B362" s="4" t="n"/>
    </row>
    <row r="363" ht="15.75" customHeight="1">
      <c r="B363" s="4" t="n"/>
    </row>
    <row r="364" ht="15.75" customHeight="1">
      <c r="B364" s="4" t="n"/>
    </row>
    <row r="365" ht="15.75" customHeight="1">
      <c r="B365" s="4" t="n"/>
    </row>
    <row r="366" ht="15.75" customHeight="1">
      <c r="B366" s="4" t="n"/>
    </row>
    <row r="367" ht="15.75" customHeight="1">
      <c r="B367" s="4" t="n"/>
    </row>
    <row r="368" ht="15.75" customHeight="1">
      <c r="B368" s="4" t="n"/>
    </row>
    <row r="369" ht="15.75" customHeight="1">
      <c r="B369" s="4" t="n"/>
    </row>
    <row r="370" ht="15.75" customHeight="1">
      <c r="B370" s="4" t="n"/>
    </row>
    <row r="371" ht="15.75" customHeight="1">
      <c r="B371" s="4" t="n"/>
    </row>
    <row r="372" ht="15.75" customHeight="1">
      <c r="B372" s="4" t="n"/>
    </row>
    <row r="373" ht="15.75" customHeight="1">
      <c r="B373" s="4" t="n"/>
    </row>
    <row r="374" ht="15.75" customHeight="1">
      <c r="B374" s="4" t="n"/>
    </row>
    <row r="375" ht="15.75" customHeight="1">
      <c r="B375" s="4" t="n"/>
    </row>
    <row r="376" ht="15.75" customHeight="1">
      <c r="B376" s="4" t="n"/>
    </row>
    <row r="377" ht="15.75" customHeight="1">
      <c r="B377" s="4" t="n"/>
    </row>
    <row r="378" ht="15.75" customHeight="1">
      <c r="B378" s="4" t="n"/>
    </row>
    <row r="379" ht="15.75" customHeight="1">
      <c r="B379" s="4" t="n"/>
    </row>
    <row r="380" ht="15.75" customHeight="1">
      <c r="B380" s="4" t="n"/>
    </row>
    <row r="381" ht="15.75" customHeight="1">
      <c r="B381" s="4" t="n"/>
    </row>
    <row r="382" ht="15.75" customHeight="1">
      <c r="B382" s="4" t="n"/>
    </row>
    <row r="383" ht="15.75" customHeight="1">
      <c r="B383" s="4" t="n"/>
    </row>
    <row r="384" ht="15.75" customHeight="1">
      <c r="B384" s="4" t="n"/>
    </row>
    <row r="385" ht="15.75" customHeight="1">
      <c r="B385" s="4" t="n"/>
    </row>
    <row r="386" ht="15.75" customHeight="1">
      <c r="B386" s="4" t="n"/>
    </row>
    <row r="387" ht="15.75" customHeight="1">
      <c r="B387" s="4" t="n"/>
    </row>
    <row r="388" ht="15.75" customHeight="1">
      <c r="B388" s="4" t="n"/>
    </row>
    <row r="389" ht="15.75" customHeight="1">
      <c r="B389" s="4" t="n"/>
    </row>
    <row r="390" ht="15.75" customHeight="1">
      <c r="B390" s="4" t="n"/>
    </row>
    <row r="391" ht="15.75" customHeight="1">
      <c r="B391" s="4" t="n"/>
    </row>
    <row r="392" ht="15.75" customHeight="1">
      <c r="B392" s="4" t="n"/>
    </row>
    <row r="393" ht="15.75" customHeight="1">
      <c r="B393" s="4" t="n"/>
    </row>
    <row r="394" ht="15.75" customHeight="1">
      <c r="B394" s="4" t="n"/>
    </row>
    <row r="395" ht="15.75" customHeight="1">
      <c r="B395" s="4" t="n"/>
    </row>
    <row r="396" ht="15.75" customHeight="1">
      <c r="B396" s="4" t="n"/>
    </row>
    <row r="397" ht="15.75" customHeight="1">
      <c r="B397" s="4" t="n"/>
    </row>
    <row r="398" ht="15.75" customHeight="1">
      <c r="B398" s="4" t="n"/>
    </row>
    <row r="399" ht="15.75" customHeight="1">
      <c r="B399" s="4" t="n"/>
    </row>
    <row r="400" ht="15.75" customHeight="1">
      <c r="B400" s="4" t="n"/>
    </row>
    <row r="401" ht="15.75" customHeight="1">
      <c r="B401" s="4" t="n"/>
    </row>
    <row r="402" ht="15.75" customHeight="1">
      <c r="B402" s="4" t="n"/>
    </row>
    <row r="403" ht="15.75" customHeight="1">
      <c r="B403" s="4" t="n"/>
    </row>
    <row r="404" ht="15.75" customHeight="1">
      <c r="B404" s="4" t="n"/>
    </row>
    <row r="405" ht="15.75" customHeight="1">
      <c r="B405" s="4" t="n"/>
    </row>
    <row r="406" ht="15.75" customHeight="1">
      <c r="B406" s="4" t="n"/>
    </row>
    <row r="407" ht="15.75" customHeight="1">
      <c r="B407" s="4" t="n"/>
    </row>
    <row r="408" ht="15.75" customHeight="1">
      <c r="B408" s="4" t="n"/>
    </row>
    <row r="409" ht="15.75" customHeight="1">
      <c r="B409" s="4" t="n"/>
    </row>
    <row r="410" ht="15.75" customHeight="1">
      <c r="B410" s="4" t="n"/>
    </row>
    <row r="411" ht="15.75" customHeight="1">
      <c r="B411" s="4" t="n"/>
    </row>
    <row r="412" ht="15.75" customHeight="1">
      <c r="B412" s="4" t="n"/>
    </row>
    <row r="413" ht="15.75" customHeight="1">
      <c r="B413" s="4" t="n"/>
    </row>
    <row r="414" ht="15.75" customHeight="1">
      <c r="B414" s="4" t="n"/>
    </row>
    <row r="415" ht="15.75" customHeight="1">
      <c r="B415" s="4" t="n"/>
    </row>
    <row r="416" ht="15.75" customHeight="1">
      <c r="B416" s="4" t="n"/>
    </row>
    <row r="417" ht="15.75" customHeight="1">
      <c r="B417" s="4" t="n"/>
    </row>
    <row r="418" ht="15.75" customHeight="1">
      <c r="B418" s="4" t="n"/>
    </row>
    <row r="419" ht="15.75" customHeight="1">
      <c r="B419" s="4" t="n"/>
    </row>
    <row r="420" ht="15.75" customHeight="1">
      <c r="B420" s="4" t="n"/>
    </row>
    <row r="421" ht="15.75" customHeight="1">
      <c r="B421" s="4" t="n"/>
    </row>
    <row r="422" ht="15.75" customHeight="1">
      <c r="B422" s="4" t="n"/>
    </row>
    <row r="423" ht="15.75" customHeight="1">
      <c r="B423" s="4" t="n"/>
    </row>
    <row r="424" ht="15.75" customHeight="1">
      <c r="B424" s="4" t="n"/>
    </row>
    <row r="425" ht="15.75" customHeight="1">
      <c r="B425" s="4" t="n"/>
    </row>
    <row r="426" ht="15.75" customHeight="1">
      <c r="B426" s="4" t="n"/>
    </row>
    <row r="427" ht="15.75" customHeight="1">
      <c r="B427" s="4" t="n"/>
    </row>
    <row r="428" ht="15.75" customHeight="1">
      <c r="B428" s="4" t="n"/>
    </row>
    <row r="429" ht="15.75" customHeight="1">
      <c r="B429" s="4" t="n"/>
    </row>
    <row r="430" ht="15.75" customHeight="1">
      <c r="B430" s="4" t="n"/>
    </row>
    <row r="431" ht="15.75" customHeight="1">
      <c r="B431" s="4" t="n"/>
    </row>
    <row r="432" ht="15.75" customHeight="1">
      <c r="B432" s="4" t="n"/>
    </row>
    <row r="433" ht="15.75" customHeight="1">
      <c r="B433" s="4" t="n"/>
    </row>
    <row r="434" ht="15.75" customHeight="1">
      <c r="B434" s="4" t="n"/>
    </row>
    <row r="435" ht="15.75" customHeight="1">
      <c r="B435" s="4" t="n"/>
    </row>
    <row r="436" ht="15.75" customHeight="1">
      <c r="B436" s="4" t="n"/>
    </row>
    <row r="437" ht="15.75" customHeight="1">
      <c r="B437" s="4" t="n"/>
    </row>
    <row r="438" ht="15.75" customHeight="1">
      <c r="B438" s="4" t="n"/>
    </row>
    <row r="439" ht="15.75" customHeight="1">
      <c r="B439" s="4" t="n"/>
    </row>
    <row r="440" ht="15.75" customHeight="1">
      <c r="B440" s="4" t="n"/>
    </row>
    <row r="441" ht="15.75" customHeight="1">
      <c r="B441" s="4" t="n"/>
    </row>
    <row r="442" ht="15.75" customHeight="1">
      <c r="B442" s="4" t="n"/>
    </row>
    <row r="443" ht="15.75" customHeight="1">
      <c r="B443" s="4" t="n"/>
    </row>
    <row r="444" ht="15.75" customHeight="1">
      <c r="B444" s="4" t="n"/>
    </row>
    <row r="445" ht="15.75" customHeight="1">
      <c r="B445" s="4" t="n"/>
    </row>
    <row r="446" ht="15.75" customHeight="1">
      <c r="B446" s="4" t="n"/>
    </row>
    <row r="447" ht="15.75" customHeight="1">
      <c r="B447" s="4" t="n"/>
    </row>
    <row r="448" ht="15.75" customHeight="1">
      <c r="B448" s="4" t="n"/>
    </row>
    <row r="449" ht="15.75" customHeight="1">
      <c r="B449" s="4" t="n"/>
    </row>
    <row r="450" ht="15.75" customHeight="1">
      <c r="B450" s="4" t="n"/>
    </row>
    <row r="451" ht="15.75" customHeight="1">
      <c r="B451" s="4" t="n"/>
    </row>
    <row r="452" ht="15.75" customHeight="1">
      <c r="B452" s="4" t="n"/>
    </row>
    <row r="453" ht="15.75" customHeight="1">
      <c r="B453" s="4" t="n"/>
    </row>
    <row r="454" ht="15.75" customHeight="1">
      <c r="B454" s="4" t="n"/>
    </row>
    <row r="455" ht="15.75" customHeight="1">
      <c r="B455" s="4" t="n"/>
    </row>
    <row r="456" ht="15.75" customHeight="1">
      <c r="B456" s="4" t="n"/>
    </row>
    <row r="457" ht="15.75" customHeight="1">
      <c r="B457" s="4" t="n"/>
    </row>
    <row r="458" ht="15.75" customHeight="1">
      <c r="B458" s="4" t="n"/>
    </row>
    <row r="459" ht="15.75" customHeight="1">
      <c r="B459" s="4" t="n"/>
    </row>
    <row r="460" ht="15.75" customHeight="1">
      <c r="B460" s="4" t="n"/>
    </row>
    <row r="461" ht="15.75" customHeight="1">
      <c r="B461" s="4" t="n"/>
    </row>
    <row r="462" ht="15.75" customHeight="1">
      <c r="B462" s="4" t="n"/>
    </row>
    <row r="463" ht="15.75" customHeight="1">
      <c r="B463" s="4" t="n"/>
    </row>
    <row r="464" ht="15.75" customHeight="1">
      <c r="B464" s="4" t="n"/>
    </row>
    <row r="465" ht="15.75" customHeight="1">
      <c r="B465" s="4" t="n"/>
    </row>
    <row r="466" ht="15.75" customHeight="1">
      <c r="B466" s="4" t="n"/>
    </row>
    <row r="467" ht="15.75" customHeight="1">
      <c r="B467" s="4" t="n"/>
    </row>
    <row r="468" ht="15.75" customHeight="1">
      <c r="B468" s="4" t="n"/>
    </row>
    <row r="469" ht="15.75" customHeight="1">
      <c r="B469" s="4" t="n"/>
    </row>
    <row r="470" ht="15.75" customHeight="1">
      <c r="B470" s="4" t="n"/>
    </row>
    <row r="471" ht="15.75" customHeight="1">
      <c r="B471" s="4" t="n"/>
    </row>
    <row r="472" ht="15.75" customHeight="1">
      <c r="B472" s="4" t="n"/>
    </row>
    <row r="473" ht="15.75" customHeight="1">
      <c r="B473" s="4" t="n"/>
    </row>
    <row r="474" ht="15.75" customHeight="1">
      <c r="B474" s="4" t="n"/>
    </row>
    <row r="475" ht="15.75" customHeight="1">
      <c r="B475" s="4" t="n"/>
    </row>
    <row r="476" ht="15.75" customHeight="1">
      <c r="B476" s="4" t="n"/>
    </row>
    <row r="477" ht="15.75" customHeight="1">
      <c r="B477" s="4" t="n"/>
    </row>
    <row r="478" ht="15.75" customHeight="1">
      <c r="B478" s="4" t="n"/>
    </row>
    <row r="479" ht="15.75" customHeight="1">
      <c r="B479" s="4" t="n"/>
    </row>
    <row r="480" ht="15.75" customHeight="1">
      <c r="B480" s="4" t="n"/>
    </row>
    <row r="481" ht="15.75" customHeight="1">
      <c r="B481" s="4" t="n"/>
    </row>
    <row r="482" ht="15.75" customHeight="1">
      <c r="B482" s="4" t="n"/>
    </row>
    <row r="483" ht="15.75" customHeight="1">
      <c r="B483" s="4" t="n"/>
    </row>
    <row r="484" ht="15.75" customHeight="1">
      <c r="B484" s="4" t="n"/>
    </row>
    <row r="485" ht="15.75" customHeight="1">
      <c r="B485" s="4" t="n"/>
    </row>
    <row r="486" ht="15.75" customHeight="1">
      <c r="B486" s="4" t="n"/>
    </row>
    <row r="487" ht="15.75" customHeight="1">
      <c r="B487" s="4" t="n"/>
    </row>
    <row r="488" ht="15.75" customHeight="1">
      <c r="B488" s="4" t="n"/>
    </row>
    <row r="489" ht="15.75" customHeight="1">
      <c r="B489" s="4" t="n"/>
    </row>
    <row r="490" ht="15.75" customHeight="1">
      <c r="B490" s="4" t="n"/>
    </row>
    <row r="491" ht="15.75" customHeight="1">
      <c r="B491" s="4" t="n"/>
    </row>
    <row r="492" ht="15.75" customHeight="1">
      <c r="B492" s="4" t="n"/>
    </row>
    <row r="493" ht="15.75" customHeight="1">
      <c r="B493" s="4" t="n"/>
    </row>
    <row r="494" ht="15.75" customHeight="1">
      <c r="B494" s="4" t="n"/>
    </row>
    <row r="495" ht="15.75" customHeight="1">
      <c r="B495" s="4" t="n"/>
    </row>
    <row r="496" ht="15.75" customHeight="1">
      <c r="B496" s="4" t="n"/>
    </row>
    <row r="497" ht="15.75" customHeight="1">
      <c r="B497" s="4" t="n"/>
    </row>
    <row r="498" ht="15.75" customHeight="1">
      <c r="B498" s="4" t="n"/>
    </row>
    <row r="499" ht="15.75" customHeight="1">
      <c r="B499" s="4" t="n"/>
    </row>
    <row r="500" ht="15.75" customHeight="1">
      <c r="B500" s="4" t="n"/>
    </row>
    <row r="501" ht="15.75" customHeight="1">
      <c r="B501" s="4" t="n"/>
    </row>
    <row r="502" ht="15.75" customHeight="1">
      <c r="B502" s="4" t="n"/>
    </row>
    <row r="503" ht="15.75" customHeight="1">
      <c r="B503" s="4" t="n"/>
    </row>
    <row r="504" ht="15.75" customHeight="1">
      <c r="B504" s="4" t="n"/>
    </row>
    <row r="505" ht="15.75" customHeight="1">
      <c r="B505" s="4" t="n"/>
    </row>
    <row r="506" ht="15.75" customHeight="1">
      <c r="B506" s="4" t="n"/>
    </row>
    <row r="507" ht="15.75" customHeight="1">
      <c r="B507" s="4" t="n"/>
    </row>
    <row r="508" ht="15.75" customHeight="1">
      <c r="B508" s="4" t="n"/>
    </row>
    <row r="509" ht="15.75" customHeight="1">
      <c r="B509" s="4" t="n"/>
    </row>
    <row r="510" ht="15.75" customHeight="1">
      <c r="B510" s="4" t="n"/>
    </row>
    <row r="511" ht="15.75" customHeight="1">
      <c r="B511" s="4" t="n"/>
    </row>
    <row r="512" ht="15.75" customHeight="1">
      <c r="B512" s="4" t="n"/>
    </row>
    <row r="513" ht="15.75" customHeight="1">
      <c r="B513" s="4" t="n"/>
    </row>
    <row r="514" ht="15.75" customHeight="1">
      <c r="B514" s="4" t="n"/>
    </row>
    <row r="515" ht="15.75" customHeight="1">
      <c r="B515" s="4" t="n"/>
    </row>
    <row r="516" ht="15.75" customHeight="1">
      <c r="B516" s="4" t="n"/>
    </row>
    <row r="517" ht="15.75" customHeight="1">
      <c r="B517" s="4" t="n"/>
    </row>
    <row r="518" ht="15.75" customHeight="1">
      <c r="B518" s="4" t="n"/>
    </row>
    <row r="519" ht="15.75" customHeight="1">
      <c r="B519" s="4" t="n"/>
    </row>
    <row r="520" ht="15.75" customHeight="1">
      <c r="B520" s="4" t="n"/>
    </row>
    <row r="521" ht="15.75" customHeight="1">
      <c r="B521" s="4" t="n"/>
    </row>
    <row r="522" ht="15.75" customHeight="1">
      <c r="B522" s="4" t="n"/>
    </row>
    <row r="523" ht="15.75" customHeight="1">
      <c r="B523" s="4" t="n"/>
    </row>
    <row r="524" ht="15.75" customHeight="1">
      <c r="B524" s="4" t="n"/>
    </row>
    <row r="525" ht="15.75" customHeight="1">
      <c r="B525" s="4" t="n"/>
    </row>
    <row r="526" ht="15.75" customHeight="1">
      <c r="B526" s="4" t="n"/>
    </row>
    <row r="527" ht="15.75" customHeight="1">
      <c r="B527" s="4" t="n"/>
    </row>
    <row r="528" ht="15.75" customHeight="1">
      <c r="B528" s="4" t="n"/>
    </row>
    <row r="529" ht="15.75" customHeight="1">
      <c r="B529" s="4" t="n"/>
    </row>
    <row r="530" ht="15.75" customHeight="1">
      <c r="B530" s="4" t="n"/>
    </row>
    <row r="531" ht="15.75" customHeight="1">
      <c r="B531" s="4" t="n"/>
    </row>
    <row r="532" ht="15.75" customHeight="1">
      <c r="B532" s="4" t="n"/>
    </row>
    <row r="533" ht="15.75" customHeight="1">
      <c r="B533" s="4" t="n"/>
    </row>
    <row r="534" ht="15.75" customHeight="1">
      <c r="B534" s="4" t="n"/>
    </row>
    <row r="535" ht="15.75" customHeight="1">
      <c r="B535" s="4" t="n"/>
    </row>
    <row r="536" ht="15.75" customHeight="1">
      <c r="B536" s="4" t="n"/>
    </row>
    <row r="537" ht="15.75" customHeight="1">
      <c r="B537" s="4" t="n"/>
    </row>
    <row r="538" ht="15.75" customHeight="1">
      <c r="B538" s="4" t="n"/>
    </row>
    <row r="539" ht="15.75" customHeight="1">
      <c r="B539" s="4" t="n"/>
    </row>
    <row r="540" ht="15.75" customHeight="1">
      <c r="B540" s="4" t="n"/>
    </row>
    <row r="541" ht="15.75" customHeight="1">
      <c r="B541" s="4" t="n"/>
    </row>
    <row r="542" ht="15.75" customHeight="1">
      <c r="B542" s="4" t="n"/>
    </row>
    <row r="543" ht="15.75" customHeight="1">
      <c r="B543" s="4" t="n"/>
    </row>
    <row r="544" ht="15.75" customHeight="1">
      <c r="B544" s="4" t="n"/>
    </row>
    <row r="545" ht="15.75" customHeight="1">
      <c r="B545" s="4" t="n"/>
    </row>
    <row r="546" ht="15.75" customHeight="1">
      <c r="B546" s="4" t="n"/>
    </row>
    <row r="547" ht="15.75" customHeight="1">
      <c r="B547" s="4" t="n"/>
    </row>
    <row r="548" ht="15.75" customHeight="1">
      <c r="B548" s="4" t="n"/>
    </row>
    <row r="549" ht="15.75" customHeight="1">
      <c r="B549" s="4" t="n"/>
    </row>
    <row r="550" ht="15.75" customHeight="1">
      <c r="B550" s="4" t="n"/>
    </row>
    <row r="551" ht="15.75" customHeight="1">
      <c r="B551" s="4" t="n"/>
    </row>
    <row r="552" ht="15.75" customHeight="1">
      <c r="B552" s="4" t="n"/>
    </row>
    <row r="553" ht="15.75" customHeight="1">
      <c r="B553" s="4" t="n"/>
    </row>
    <row r="554" ht="15.75" customHeight="1">
      <c r="B554" s="4" t="n"/>
    </row>
    <row r="555" ht="15.75" customHeight="1">
      <c r="B555" s="4" t="n"/>
    </row>
    <row r="556" ht="15.75" customHeight="1">
      <c r="B556" s="4" t="n"/>
    </row>
    <row r="557" ht="15.75" customHeight="1">
      <c r="B557" s="4" t="n"/>
    </row>
    <row r="558" ht="15.75" customHeight="1">
      <c r="B558" s="4" t="n"/>
    </row>
    <row r="559" ht="15.75" customHeight="1">
      <c r="B559" s="4" t="n"/>
    </row>
    <row r="560" ht="15.75" customHeight="1">
      <c r="B560" s="4" t="n"/>
    </row>
    <row r="561" ht="15.75" customHeight="1">
      <c r="B561" s="4" t="n"/>
    </row>
    <row r="562" ht="15.75" customHeight="1">
      <c r="B562" s="4" t="n"/>
    </row>
    <row r="563" ht="15.75" customHeight="1">
      <c r="B563" s="4" t="n"/>
    </row>
    <row r="564" ht="15.75" customHeight="1">
      <c r="B564" s="4" t="n"/>
    </row>
    <row r="565" ht="15.75" customHeight="1">
      <c r="B565" s="4" t="n"/>
    </row>
    <row r="566" ht="15.75" customHeight="1">
      <c r="B566" s="4" t="n"/>
    </row>
    <row r="567" ht="15.75" customHeight="1">
      <c r="B567" s="4" t="n"/>
    </row>
    <row r="568" ht="15.75" customHeight="1">
      <c r="B568" s="4" t="n"/>
    </row>
    <row r="569" ht="15.75" customHeight="1">
      <c r="B569" s="4" t="n"/>
    </row>
    <row r="570" ht="15.75" customHeight="1">
      <c r="B570" s="4" t="n"/>
    </row>
    <row r="571" ht="15.75" customHeight="1">
      <c r="B571" s="4" t="n"/>
    </row>
    <row r="572" ht="15.75" customHeight="1">
      <c r="B572" s="4" t="n"/>
    </row>
    <row r="573" ht="15.75" customHeight="1">
      <c r="B573" s="4" t="n"/>
    </row>
    <row r="574" ht="15.75" customHeight="1">
      <c r="B574" s="4" t="n"/>
    </row>
    <row r="575" ht="15.75" customHeight="1">
      <c r="B575" s="4" t="n"/>
    </row>
    <row r="576" ht="15.75" customHeight="1">
      <c r="B576" s="4" t="n"/>
    </row>
    <row r="577" ht="15.75" customHeight="1">
      <c r="B577" s="4" t="n"/>
    </row>
    <row r="578" ht="15.75" customHeight="1">
      <c r="B578" s="4" t="n"/>
    </row>
    <row r="579" ht="15.75" customHeight="1">
      <c r="B579" s="4" t="n"/>
    </row>
    <row r="580" ht="15.75" customHeight="1">
      <c r="B580" s="4" t="n"/>
    </row>
    <row r="581" ht="15.75" customHeight="1">
      <c r="B581" s="4" t="n"/>
    </row>
    <row r="582" ht="15.75" customHeight="1">
      <c r="B582" s="4" t="n"/>
    </row>
    <row r="583" ht="15.75" customHeight="1">
      <c r="B583" s="4" t="n"/>
    </row>
    <row r="584" ht="15.75" customHeight="1">
      <c r="B584" s="4" t="n"/>
    </row>
    <row r="585" ht="15.75" customHeight="1">
      <c r="B585" s="4" t="n"/>
    </row>
    <row r="586" ht="15.75" customHeight="1">
      <c r="B586" s="4" t="n"/>
    </row>
    <row r="587" ht="15.75" customHeight="1">
      <c r="B587" s="4" t="n"/>
    </row>
    <row r="588" ht="15.75" customHeight="1">
      <c r="B588" s="4" t="n"/>
    </row>
    <row r="589" ht="15.75" customHeight="1">
      <c r="B589" s="4" t="n"/>
    </row>
    <row r="590" ht="15.75" customHeight="1">
      <c r="B590" s="4" t="n"/>
    </row>
    <row r="591" ht="15.75" customHeight="1">
      <c r="B591" s="4" t="n"/>
    </row>
    <row r="592" ht="15.75" customHeight="1">
      <c r="B592" s="4" t="n"/>
    </row>
    <row r="593" ht="15.75" customHeight="1">
      <c r="B593" s="4" t="n"/>
    </row>
    <row r="594" ht="15.75" customHeight="1">
      <c r="B594" s="4" t="n"/>
    </row>
    <row r="595" ht="15.75" customHeight="1">
      <c r="B595" s="4" t="n"/>
    </row>
    <row r="596" ht="15.75" customHeight="1">
      <c r="B596" s="4" t="n"/>
    </row>
    <row r="597" ht="15.75" customHeight="1">
      <c r="B597" s="4" t="n"/>
    </row>
    <row r="598" ht="15.75" customHeight="1">
      <c r="B598" s="4" t="n"/>
    </row>
    <row r="599" ht="15.75" customHeight="1">
      <c r="B599" s="4" t="n"/>
    </row>
    <row r="600" ht="15.75" customHeight="1">
      <c r="B600" s="4" t="n"/>
    </row>
    <row r="601" ht="15.75" customHeight="1">
      <c r="B601" s="4" t="n"/>
    </row>
    <row r="602" ht="15.75" customHeight="1">
      <c r="B602" s="4" t="n"/>
    </row>
    <row r="603" ht="15.75" customHeight="1">
      <c r="B603" s="4" t="n"/>
    </row>
    <row r="604" ht="15.75" customHeight="1">
      <c r="B604" s="4" t="n"/>
    </row>
    <row r="605" ht="15.75" customHeight="1">
      <c r="B605" s="4" t="n"/>
    </row>
    <row r="606" ht="15.75" customHeight="1">
      <c r="B606" s="4" t="n"/>
    </row>
    <row r="607" ht="15.75" customHeight="1">
      <c r="B607" s="4" t="n"/>
    </row>
    <row r="608" ht="15.75" customHeight="1">
      <c r="B608" s="4" t="n"/>
    </row>
    <row r="609" ht="15.75" customHeight="1">
      <c r="B609" s="4" t="n"/>
    </row>
    <row r="610" ht="15.75" customHeight="1">
      <c r="B610" s="4" t="n"/>
    </row>
    <row r="611" ht="15.75" customHeight="1">
      <c r="B611" s="4" t="n"/>
    </row>
    <row r="612" ht="15.75" customHeight="1">
      <c r="B612" s="4" t="n"/>
    </row>
    <row r="613" ht="15.75" customHeight="1">
      <c r="B613" s="4" t="n"/>
    </row>
    <row r="614" ht="15.75" customHeight="1">
      <c r="B614" s="4" t="n"/>
    </row>
    <row r="615" ht="15.75" customHeight="1">
      <c r="B615" s="4" t="n"/>
    </row>
    <row r="616" ht="15.75" customHeight="1">
      <c r="B616" s="4" t="n"/>
    </row>
    <row r="617" ht="15.75" customHeight="1">
      <c r="B617" s="4" t="n"/>
    </row>
    <row r="618" ht="15.75" customHeight="1">
      <c r="B618" s="4" t="n"/>
    </row>
    <row r="619" ht="15.75" customHeight="1">
      <c r="B619" s="4" t="n"/>
    </row>
    <row r="620" ht="15.75" customHeight="1">
      <c r="B620" s="4" t="n"/>
    </row>
    <row r="621" ht="15.75" customHeight="1">
      <c r="B621" s="4" t="n"/>
    </row>
    <row r="622" ht="15.75" customHeight="1">
      <c r="B622" s="4" t="n"/>
    </row>
    <row r="623" ht="15.75" customHeight="1">
      <c r="B623" s="4" t="n"/>
    </row>
    <row r="624" ht="15.75" customHeight="1">
      <c r="B624" s="4" t="n"/>
    </row>
    <row r="625" ht="15.75" customHeight="1">
      <c r="B625" s="4" t="n"/>
    </row>
    <row r="626" ht="15.75" customHeight="1">
      <c r="B626" s="4" t="n"/>
    </row>
    <row r="627" ht="15.75" customHeight="1">
      <c r="B627" s="4" t="n"/>
    </row>
    <row r="628" ht="15.75" customHeight="1">
      <c r="B628" s="4" t="n"/>
    </row>
    <row r="629" ht="15.75" customHeight="1">
      <c r="B629" s="4" t="n"/>
    </row>
    <row r="630" ht="15.75" customHeight="1">
      <c r="B630" s="4" t="n"/>
    </row>
    <row r="631" ht="15.75" customHeight="1">
      <c r="B631" s="4" t="n"/>
    </row>
    <row r="632" ht="15.75" customHeight="1">
      <c r="B632" s="4" t="n"/>
    </row>
    <row r="633" ht="15.75" customHeight="1">
      <c r="B633" s="4" t="n"/>
    </row>
    <row r="634" ht="15.75" customHeight="1">
      <c r="B634" s="4" t="n"/>
    </row>
    <row r="635" ht="15.75" customHeight="1">
      <c r="B635" s="4" t="n"/>
    </row>
    <row r="636" ht="15.75" customHeight="1">
      <c r="B636" s="4" t="n"/>
    </row>
    <row r="637" ht="15.75" customHeight="1">
      <c r="B637" s="4" t="n"/>
    </row>
    <row r="638" ht="15.75" customHeight="1">
      <c r="B638" s="4" t="n"/>
    </row>
    <row r="639" ht="15.75" customHeight="1">
      <c r="B639" s="4" t="n"/>
    </row>
    <row r="640" ht="15.75" customHeight="1">
      <c r="B640" s="4" t="n"/>
    </row>
    <row r="641" ht="15.75" customHeight="1">
      <c r="B641" s="4" t="n"/>
    </row>
    <row r="642" ht="15.75" customHeight="1">
      <c r="B642" s="4" t="n"/>
    </row>
    <row r="643" ht="15.75" customHeight="1">
      <c r="B643" s="4" t="n"/>
    </row>
    <row r="644" ht="15.75" customHeight="1">
      <c r="B644" s="4" t="n"/>
    </row>
    <row r="645" ht="15.75" customHeight="1">
      <c r="B645" s="4" t="n"/>
    </row>
    <row r="646" ht="15.75" customHeight="1">
      <c r="B646" s="4" t="n"/>
    </row>
    <row r="647" ht="15.75" customHeight="1">
      <c r="B647" s="4" t="n"/>
    </row>
    <row r="648" ht="15.75" customHeight="1">
      <c r="B648" s="4" t="n"/>
    </row>
    <row r="649" ht="15.75" customHeight="1">
      <c r="B649" s="4" t="n"/>
    </row>
    <row r="650" ht="15.75" customHeight="1">
      <c r="B650" s="4" t="n"/>
    </row>
    <row r="651" ht="15.75" customHeight="1">
      <c r="B651" s="4" t="n"/>
    </row>
    <row r="652" ht="15.75" customHeight="1">
      <c r="B652" s="4" t="n"/>
    </row>
    <row r="653" ht="15.75" customHeight="1">
      <c r="B653" s="4" t="n"/>
    </row>
    <row r="654" ht="15.75" customHeight="1">
      <c r="B654" s="4" t="n"/>
    </row>
    <row r="655" ht="15.75" customHeight="1">
      <c r="B655" s="4" t="n"/>
    </row>
    <row r="656" ht="15.75" customHeight="1">
      <c r="B656" s="4" t="n"/>
    </row>
    <row r="657" ht="15.75" customHeight="1">
      <c r="B657" s="4" t="n"/>
    </row>
    <row r="658" ht="15.75" customHeight="1">
      <c r="B658" s="4" t="n"/>
    </row>
    <row r="659" ht="15.75" customHeight="1">
      <c r="B659" s="4" t="n"/>
    </row>
    <row r="660" ht="15.75" customHeight="1">
      <c r="B660" s="4" t="n"/>
    </row>
    <row r="661" ht="15.75" customHeight="1">
      <c r="B661" s="4" t="n"/>
    </row>
    <row r="662" ht="15.75" customHeight="1">
      <c r="B662" s="4" t="n"/>
    </row>
    <row r="663" ht="15.75" customHeight="1">
      <c r="B663" s="4" t="n"/>
    </row>
    <row r="664" ht="15.75" customHeight="1">
      <c r="B664" s="4" t="n"/>
    </row>
    <row r="665" ht="15.75" customHeight="1">
      <c r="B665" s="4" t="n"/>
    </row>
    <row r="666" ht="15.75" customHeight="1">
      <c r="B666" s="4" t="n"/>
    </row>
    <row r="667" ht="15.75" customHeight="1">
      <c r="B667" s="4" t="n"/>
    </row>
    <row r="668" ht="15.75" customHeight="1">
      <c r="B668" s="4" t="n"/>
    </row>
    <row r="669" ht="15.75" customHeight="1">
      <c r="B669" s="4" t="n"/>
    </row>
    <row r="670" ht="15.75" customHeight="1">
      <c r="B670" s="4" t="n"/>
    </row>
    <row r="671" ht="15.75" customHeight="1">
      <c r="B671" s="4" t="n"/>
    </row>
    <row r="672" ht="15.75" customHeight="1">
      <c r="B672" s="4" t="n"/>
    </row>
    <row r="673" ht="15.75" customHeight="1">
      <c r="B673" s="4" t="n"/>
    </row>
    <row r="674" ht="15.75" customHeight="1">
      <c r="B674" s="4" t="n"/>
    </row>
    <row r="675" ht="15.75" customHeight="1">
      <c r="B675" s="4" t="n"/>
    </row>
    <row r="676" ht="15.75" customHeight="1">
      <c r="B676" s="4" t="n"/>
    </row>
    <row r="677" ht="15.75" customHeight="1">
      <c r="B677" s="4" t="n"/>
    </row>
    <row r="678" ht="15.75" customHeight="1">
      <c r="B678" s="4" t="n"/>
    </row>
    <row r="679" ht="15.75" customHeight="1">
      <c r="B679" s="4" t="n"/>
    </row>
    <row r="680" ht="15.75" customHeight="1">
      <c r="B680" s="4" t="n"/>
    </row>
    <row r="681" ht="15.75" customHeight="1">
      <c r="B681" s="4" t="n"/>
    </row>
    <row r="682" ht="15.75" customHeight="1">
      <c r="B682" s="4" t="n"/>
    </row>
    <row r="683" ht="15.75" customHeight="1">
      <c r="B683" s="4" t="n"/>
    </row>
    <row r="684" ht="15.75" customHeight="1">
      <c r="B684" s="4" t="n"/>
    </row>
    <row r="685" ht="15.75" customHeight="1">
      <c r="B685" s="4" t="n"/>
    </row>
    <row r="686" ht="15.75" customHeight="1">
      <c r="B686" s="4" t="n"/>
    </row>
    <row r="687" ht="15.75" customHeight="1">
      <c r="B687" s="4" t="n"/>
    </row>
    <row r="688" ht="15.75" customHeight="1">
      <c r="B688" s="4" t="n"/>
    </row>
    <row r="689" ht="15.75" customHeight="1">
      <c r="B689" s="4" t="n"/>
    </row>
    <row r="690" ht="15.75" customHeight="1">
      <c r="B690" s="4" t="n"/>
    </row>
    <row r="691" ht="15.75" customHeight="1">
      <c r="B691" s="4" t="n"/>
    </row>
    <row r="692" ht="15.75" customHeight="1">
      <c r="B692" s="4" t="n"/>
    </row>
    <row r="693" ht="15.75" customHeight="1">
      <c r="B693" s="4" t="n"/>
    </row>
    <row r="694" ht="15.75" customHeight="1">
      <c r="B694" s="4" t="n"/>
    </row>
    <row r="695" ht="15.75" customHeight="1">
      <c r="B695" s="4" t="n"/>
    </row>
    <row r="696" ht="15.75" customHeight="1">
      <c r="B696" s="4" t="n"/>
    </row>
    <row r="697" ht="15.75" customHeight="1">
      <c r="B697" s="4" t="n"/>
    </row>
    <row r="698" ht="15.75" customHeight="1">
      <c r="B698" s="4" t="n"/>
    </row>
    <row r="699" ht="15.75" customHeight="1">
      <c r="B699" s="4" t="n"/>
    </row>
    <row r="700" ht="15.75" customHeight="1">
      <c r="B700" s="4" t="n"/>
    </row>
    <row r="701" ht="15.75" customHeight="1">
      <c r="B701" s="4" t="n"/>
    </row>
    <row r="702" ht="15.75" customHeight="1">
      <c r="B702" s="4" t="n"/>
    </row>
    <row r="703" ht="15.75" customHeight="1">
      <c r="B703" s="4" t="n"/>
    </row>
    <row r="704" ht="15.75" customHeight="1">
      <c r="B704" s="4" t="n"/>
    </row>
    <row r="705" ht="15.75" customHeight="1">
      <c r="B705" s="4" t="n"/>
    </row>
    <row r="706" ht="15.75" customHeight="1">
      <c r="B706" s="4" t="n"/>
    </row>
    <row r="707" ht="15.75" customHeight="1">
      <c r="B707" s="4" t="n"/>
    </row>
    <row r="708" ht="15.75" customHeight="1">
      <c r="B708" s="4" t="n"/>
    </row>
    <row r="709" ht="15.75" customHeight="1">
      <c r="B709" s="4" t="n"/>
    </row>
    <row r="710" ht="15.75" customHeight="1">
      <c r="B710" s="4" t="n"/>
    </row>
    <row r="711" ht="15.75" customHeight="1">
      <c r="B711" s="4" t="n"/>
    </row>
    <row r="712" ht="15.75" customHeight="1">
      <c r="B712" s="4" t="n"/>
    </row>
    <row r="713" ht="15.75" customHeight="1">
      <c r="B713" s="4" t="n"/>
    </row>
    <row r="714" ht="15.75" customHeight="1">
      <c r="B714" s="4" t="n"/>
    </row>
    <row r="715" ht="15.75" customHeight="1">
      <c r="B715" s="4" t="n"/>
    </row>
    <row r="716" ht="15.75" customHeight="1">
      <c r="B716" s="4" t="n"/>
    </row>
    <row r="717" ht="15.75" customHeight="1">
      <c r="B717" s="4" t="n"/>
    </row>
    <row r="718" ht="15.75" customHeight="1">
      <c r="B718" s="4" t="n"/>
    </row>
    <row r="719" ht="15.75" customHeight="1">
      <c r="B719" s="4" t="n"/>
    </row>
    <row r="720" ht="15.75" customHeight="1">
      <c r="B720" s="4" t="n"/>
    </row>
    <row r="721" ht="15.75" customHeight="1">
      <c r="B721" s="4" t="n"/>
    </row>
    <row r="722" ht="15.75" customHeight="1">
      <c r="B722" s="4" t="n"/>
    </row>
    <row r="723" ht="15.75" customHeight="1">
      <c r="B723" s="4" t="n"/>
    </row>
    <row r="724" ht="15.75" customHeight="1">
      <c r="B724" s="4" t="n"/>
    </row>
    <row r="725" ht="15.75" customHeight="1">
      <c r="B725" s="4" t="n"/>
    </row>
    <row r="726" ht="15.75" customHeight="1">
      <c r="B726" s="4" t="n"/>
    </row>
    <row r="727" ht="15.75" customHeight="1">
      <c r="B727" s="4" t="n"/>
    </row>
    <row r="728" ht="15.75" customHeight="1">
      <c r="B728" s="4" t="n"/>
    </row>
    <row r="729" ht="15.75" customHeight="1">
      <c r="B729" s="4" t="n"/>
    </row>
    <row r="730" ht="15.75" customHeight="1">
      <c r="B730" s="4" t="n"/>
    </row>
    <row r="731" ht="15.75" customHeight="1">
      <c r="B731" s="4" t="n"/>
    </row>
    <row r="732" ht="15.75" customHeight="1">
      <c r="B732" s="4" t="n"/>
    </row>
    <row r="733" ht="15.75" customHeight="1">
      <c r="B733" s="4" t="n"/>
    </row>
    <row r="734" ht="15.75" customHeight="1">
      <c r="B734" s="4" t="n"/>
    </row>
    <row r="735" ht="15.75" customHeight="1">
      <c r="B735" s="4" t="n"/>
    </row>
    <row r="736" ht="15.75" customHeight="1">
      <c r="B736" s="4" t="n"/>
    </row>
    <row r="737" ht="15.75" customHeight="1">
      <c r="B737" s="4" t="n"/>
    </row>
    <row r="738" ht="15.75" customHeight="1">
      <c r="B738" s="4" t="n"/>
    </row>
    <row r="739" ht="15.75" customHeight="1">
      <c r="B739" s="4" t="n"/>
    </row>
    <row r="740" ht="15.75" customHeight="1">
      <c r="B740" s="4" t="n"/>
    </row>
    <row r="741" ht="15.75" customHeight="1">
      <c r="B741" s="4" t="n"/>
    </row>
    <row r="742" ht="15.75" customHeight="1">
      <c r="B742" s="4" t="n"/>
    </row>
    <row r="743" ht="15.75" customHeight="1">
      <c r="B743" s="4" t="n"/>
    </row>
    <row r="744" ht="15.75" customHeight="1">
      <c r="B744" s="4" t="n"/>
    </row>
    <row r="745" ht="15.75" customHeight="1">
      <c r="B745" s="4" t="n"/>
    </row>
    <row r="746" ht="15.75" customHeight="1">
      <c r="B746" s="4" t="n"/>
    </row>
    <row r="747" ht="15.75" customHeight="1">
      <c r="B747" s="4" t="n"/>
    </row>
    <row r="748" ht="15.75" customHeight="1">
      <c r="B748" s="4" t="n"/>
    </row>
    <row r="749" ht="15.75" customHeight="1">
      <c r="B749" s="4" t="n"/>
    </row>
    <row r="750" ht="15.75" customHeight="1">
      <c r="B750" s="4" t="n"/>
    </row>
    <row r="751" ht="15.75" customHeight="1">
      <c r="B751" s="4" t="n"/>
    </row>
    <row r="752" ht="15.75" customHeight="1">
      <c r="B752" s="4" t="n"/>
    </row>
    <row r="753" ht="15.75" customHeight="1">
      <c r="B753" s="4" t="n"/>
    </row>
    <row r="754" ht="15.75" customHeight="1">
      <c r="B754" s="4" t="n"/>
    </row>
    <row r="755" ht="15.75" customHeight="1">
      <c r="B755" s="4" t="n"/>
    </row>
    <row r="756" ht="15.75" customHeight="1">
      <c r="B756" s="4" t="n"/>
    </row>
    <row r="757" ht="15.75" customHeight="1">
      <c r="B757" s="4" t="n"/>
    </row>
    <row r="758" ht="15.75" customHeight="1">
      <c r="B758" s="4" t="n"/>
    </row>
    <row r="759" ht="15.75" customHeight="1">
      <c r="B759" s="4" t="n"/>
    </row>
    <row r="760" ht="15.75" customHeight="1">
      <c r="B760" s="4" t="n"/>
    </row>
    <row r="761" ht="15.75" customHeight="1">
      <c r="B761" s="4" t="n"/>
    </row>
    <row r="762" ht="15.75" customHeight="1">
      <c r="B762" s="4" t="n"/>
    </row>
    <row r="763" ht="15.75" customHeight="1">
      <c r="B763" s="4" t="n"/>
    </row>
    <row r="764" ht="15.75" customHeight="1">
      <c r="B764" s="4" t="n"/>
    </row>
    <row r="765" ht="15.75" customHeight="1">
      <c r="B765" s="4" t="n"/>
    </row>
    <row r="766" ht="15.75" customHeight="1">
      <c r="B766" s="4" t="n"/>
    </row>
    <row r="767" ht="15.75" customHeight="1">
      <c r="B767" s="4" t="n"/>
    </row>
    <row r="768" ht="15.75" customHeight="1">
      <c r="B768" s="4" t="n"/>
    </row>
    <row r="769" ht="15.75" customHeight="1">
      <c r="B769" s="4" t="n"/>
    </row>
    <row r="770" ht="15.75" customHeight="1">
      <c r="B770" s="4" t="n"/>
    </row>
    <row r="771" ht="15.75" customHeight="1">
      <c r="B771" s="4" t="n"/>
    </row>
    <row r="772" ht="15.75" customHeight="1">
      <c r="B772" s="4" t="n"/>
    </row>
    <row r="773" ht="15.75" customHeight="1">
      <c r="B773" s="4" t="n"/>
    </row>
    <row r="774" ht="15.75" customHeight="1">
      <c r="B774" s="4" t="n"/>
    </row>
    <row r="775" ht="15.75" customHeight="1">
      <c r="B775" s="4" t="n"/>
    </row>
    <row r="776" ht="15.75" customHeight="1">
      <c r="B776" s="4" t="n"/>
    </row>
    <row r="777" ht="15.75" customHeight="1">
      <c r="B777" s="4" t="n"/>
    </row>
    <row r="778" ht="15.75" customHeight="1">
      <c r="B778" s="4" t="n"/>
    </row>
    <row r="779" ht="15.75" customHeight="1">
      <c r="B779" s="4" t="n"/>
    </row>
    <row r="780" ht="15.75" customHeight="1">
      <c r="B780" s="4" t="n"/>
    </row>
    <row r="781" ht="15.75" customHeight="1">
      <c r="B781" s="4" t="n"/>
    </row>
    <row r="782" ht="15.75" customHeight="1">
      <c r="B782" s="4" t="n"/>
    </row>
    <row r="783" ht="15.75" customHeight="1">
      <c r="B783" s="4" t="n"/>
    </row>
    <row r="784" ht="15.75" customHeight="1">
      <c r="B784" s="4" t="n"/>
    </row>
    <row r="785" ht="15.75" customHeight="1">
      <c r="B785" s="4" t="n"/>
    </row>
    <row r="786" ht="15.75" customHeight="1">
      <c r="B786" s="4" t="n"/>
    </row>
    <row r="787" ht="15.75" customHeight="1">
      <c r="B787" s="4" t="n"/>
    </row>
    <row r="788" ht="15.75" customHeight="1">
      <c r="B788" s="4" t="n"/>
    </row>
    <row r="789" ht="15.75" customHeight="1">
      <c r="B789" s="4" t="n"/>
    </row>
    <row r="790" ht="15.75" customHeight="1">
      <c r="B790" s="4" t="n"/>
    </row>
    <row r="791" ht="15.75" customHeight="1">
      <c r="B791" s="4" t="n"/>
    </row>
    <row r="792" ht="15.75" customHeight="1">
      <c r="B792" s="4" t="n"/>
    </row>
    <row r="793" ht="15.75" customHeight="1">
      <c r="B793" s="4" t="n"/>
    </row>
    <row r="794" ht="15.75" customHeight="1">
      <c r="B794" s="4" t="n"/>
    </row>
    <row r="795" ht="15.75" customHeight="1">
      <c r="B795" s="4" t="n"/>
    </row>
    <row r="796" ht="15.75" customHeight="1">
      <c r="B796" s="4" t="n"/>
    </row>
    <row r="797" ht="15.75" customHeight="1">
      <c r="B797" s="4" t="n"/>
    </row>
    <row r="798" ht="15.75" customHeight="1">
      <c r="B798" s="4" t="n"/>
    </row>
    <row r="799" ht="15.75" customHeight="1">
      <c r="B799" s="4" t="n"/>
    </row>
    <row r="800" ht="15.75" customHeight="1">
      <c r="B800" s="4" t="n"/>
    </row>
    <row r="801" ht="15.75" customHeight="1">
      <c r="B801" s="4" t="n"/>
    </row>
    <row r="802" ht="15.75" customHeight="1">
      <c r="B802" s="4" t="n"/>
    </row>
    <row r="803" ht="15.75" customHeight="1">
      <c r="B803" s="4" t="n"/>
    </row>
    <row r="804" ht="15.75" customHeight="1">
      <c r="B804" s="4" t="n"/>
    </row>
    <row r="805" ht="15.75" customHeight="1">
      <c r="B805" s="4" t="n"/>
    </row>
    <row r="806" ht="15.75" customHeight="1">
      <c r="B806" s="4" t="n"/>
    </row>
    <row r="807" ht="15.75" customHeight="1">
      <c r="B807" s="4" t="n"/>
    </row>
    <row r="808" ht="15.75" customHeight="1">
      <c r="B808" s="4" t="n"/>
    </row>
    <row r="809" ht="15.75" customHeight="1">
      <c r="B809" s="4" t="n"/>
    </row>
    <row r="810" ht="15.75" customHeight="1">
      <c r="B810" s="4" t="n"/>
    </row>
    <row r="811" ht="15.75" customHeight="1">
      <c r="B811" s="4" t="n"/>
    </row>
    <row r="812" ht="15.75" customHeight="1">
      <c r="B812" s="4" t="n"/>
    </row>
    <row r="813" ht="15.75" customHeight="1">
      <c r="B813" s="4" t="n"/>
    </row>
    <row r="814" ht="15.75" customHeight="1">
      <c r="B814" s="4" t="n"/>
    </row>
    <row r="815" ht="15.75" customHeight="1">
      <c r="B815" s="4" t="n"/>
    </row>
    <row r="816" ht="15.75" customHeight="1">
      <c r="B816" s="4" t="n"/>
    </row>
    <row r="817" ht="15.75" customHeight="1">
      <c r="B817" s="4" t="n"/>
    </row>
    <row r="818" ht="15.75" customHeight="1">
      <c r="B818" s="4" t="n"/>
    </row>
    <row r="819" ht="15.75" customHeight="1">
      <c r="B819" s="4" t="n"/>
    </row>
    <row r="820" ht="15.75" customHeight="1">
      <c r="B820" s="4" t="n"/>
    </row>
    <row r="821" ht="15.75" customHeight="1">
      <c r="B821" s="4" t="n"/>
    </row>
    <row r="822" ht="15.75" customHeight="1">
      <c r="B822" s="4" t="n"/>
    </row>
    <row r="823" ht="15.75" customHeight="1">
      <c r="B823" s="4" t="n"/>
    </row>
    <row r="824" ht="15.75" customHeight="1">
      <c r="B824" s="4" t="n"/>
    </row>
    <row r="825" ht="15.75" customHeight="1">
      <c r="B825" s="4" t="n"/>
    </row>
    <row r="826" ht="15.75" customHeight="1">
      <c r="B826" s="4" t="n"/>
    </row>
    <row r="827" ht="15.75" customHeight="1">
      <c r="B827" s="4" t="n"/>
    </row>
    <row r="828" ht="15.75" customHeight="1">
      <c r="B828" s="4" t="n"/>
    </row>
    <row r="829" ht="15.75" customHeight="1">
      <c r="B829" s="4" t="n"/>
    </row>
    <row r="830" ht="15.75" customHeight="1">
      <c r="B830" s="4" t="n"/>
    </row>
    <row r="831" ht="15.75" customHeight="1">
      <c r="B831" s="4" t="n"/>
    </row>
    <row r="832" ht="15.75" customHeight="1">
      <c r="B832" s="4" t="n"/>
    </row>
    <row r="833" ht="15.75" customHeight="1">
      <c r="B833" s="4" t="n"/>
    </row>
    <row r="834" ht="15.75" customHeight="1">
      <c r="B834" s="4" t="n"/>
    </row>
    <row r="835" ht="15.75" customHeight="1">
      <c r="B835" s="4" t="n"/>
    </row>
    <row r="836" ht="15.75" customHeight="1">
      <c r="B836" s="4" t="n"/>
    </row>
    <row r="837" ht="15.75" customHeight="1">
      <c r="B837" s="4" t="n"/>
    </row>
    <row r="838" ht="15.75" customHeight="1">
      <c r="B838" s="4" t="n"/>
    </row>
    <row r="839" ht="15.75" customHeight="1">
      <c r="B839" s="4" t="n"/>
    </row>
    <row r="840" ht="15.75" customHeight="1">
      <c r="B840" s="4" t="n"/>
    </row>
    <row r="841" ht="15.75" customHeight="1">
      <c r="B841" s="4" t="n"/>
    </row>
    <row r="842" ht="15.75" customHeight="1">
      <c r="B842" s="4" t="n"/>
    </row>
    <row r="843" ht="15.75" customHeight="1">
      <c r="B843" s="4" t="n"/>
    </row>
    <row r="844" ht="15.75" customHeight="1">
      <c r="B844" s="4" t="n"/>
    </row>
    <row r="845" ht="15.75" customHeight="1">
      <c r="B845" s="4" t="n"/>
    </row>
    <row r="846" ht="15.75" customHeight="1">
      <c r="B846" s="4" t="n"/>
    </row>
    <row r="847" ht="15.75" customHeight="1">
      <c r="B847" s="4" t="n"/>
    </row>
    <row r="848" ht="15.75" customHeight="1">
      <c r="B848" s="4" t="n"/>
    </row>
    <row r="849" ht="15.75" customHeight="1">
      <c r="B849" s="4" t="n"/>
    </row>
    <row r="850" ht="15.75" customHeight="1">
      <c r="B850" s="4" t="n"/>
    </row>
    <row r="851" ht="15.75" customHeight="1">
      <c r="B851" s="4" t="n"/>
    </row>
    <row r="852" ht="15.75" customHeight="1">
      <c r="B852" s="4" t="n"/>
    </row>
    <row r="853" ht="15.75" customHeight="1">
      <c r="B853" s="4" t="n"/>
    </row>
    <row r="854" ht="15.75" customHeight="1">
      <c r="B854" s="4" t="n"/>
    </row>
    <row r="855" ht="15.75" customHeight="1">
      <c r="B855" s="4" t="n"/>
    </row>
    <row r="856" ht="15.75" customHeight="1">
      <c r="B856" s="4" t="n"/>
    </row>
    <row r="857" ht="15.75" customHeight="1">
      <c r="B857" s="4" t="n"/>
    </row>
    <row r="858" ht="15.75" customHeight="1">
      <c r="B858" s="4" t="n"/>
    </row>
    <row r="859" ht="15.75" customHeight="1">
      <c r="B859" s="4" t="n"/>
    </row>
    <row r="860" ht="15.75" customHeight="1">
      <c r="B860" s="4" t="n"/>
    </row>
    <row r="861" ht="15.75" customHeight="1">
      <c r="B861" s="4" t="n"/>
    </row>
    <row r="862" ht="15.75" customHeight="1">
      <c r="B862" s="4" t="n"/>
    </row>
    <row r="863" ht="15.75" customHeight="1">
      <c r="B863" s="4" t="n"/>
    </row>
    <row r="864" ht="15.75" customHeight="1">
      <c r="B864" s="4" t="n"/>
    </row>
    <row r="865" ht="15.75" customHeight="1">
      <c r="B865" s="4" t="n"/>
    </row>
    <row r="866" ht="15.75" customHeight="1">
      <c r="B866" s="4" t="n"/>
    </row>
    <row r="867" ht="15.75" customHeight="1">
      <c r="B867" s="4" t="n"/>
    </row>
    <row r="868" ht="15.75" customHeight="1">
      <c r="B868" s="4" t="n"/>
    </row>
    <row r="869" ht="15.75" customHeight="1">
      <c r="B869" s="4" t="n"/>
    </row>
    <row r="870" ht="15.75" customHeight="1">
      <c r="B870" s="4" t="n"/>
    </row>
    <row r="871" ht="15.75" customHeight="1">
      <c r="B871" s="4" t="n"/>
    </row>
    <row r="872" ht="15.75" customHeight="1">
      <c r="B872" s="4" t="n"/>
    </row>
    <row r="873" ht="15.75" customHeight="1">
      <c r="B873" s="4" t="n"/>
    </row>
    <row r="874" ht="15.75" customHeight="1">
      <c r="B874" s="4" t="n"/>
    </row>
    <row r="875" ht="15.75" customHeight="1">
      <c r="B875" s="4" t="n"/>
    </row>
    <row r="876" ht="15.75" customHeight="1">
      <c r="B876" s="4" t="n"/>
    </row>
    <row r="877" ht="15.75" customHeight="1">
      <c r="B877" s="4" t="n"/>
    </row>
    <row r="878" ht="15.75" customHeight="1">
      <c r="B878" s="4" t="n"/>
    </row>
    <row r="879" ht="15.75" customHeight="1">
      <c r="B879" s="4" t="n"/>
    </row>
    <row r="880" ht="15.75" customHeight="1">
      <c r="B880" s="4" t="n"/>
    </row>
    <row r="881" ht="15.75" customHeight="1">
      <c r="B881" s="4" t="n"/>
    </row>
    <row r="882" ht="15.75" customHeight="1">
      <c r="B882" s="4" t="n"/>
    </row>
    <row r="883" ht="15.75" customHeight="1">
      <c r="B883" s="4" t="n"/>
    </row>
    <row r="884" ht="15.75" customHeight="1">
      <c r="B884" s="4" t="n"/>
    </row>
    <row r="885" ht="15.75" customHeight="1">
      <c r="B885" s="4" t="n"/>
    </row>
    <row r="886" ht="15.75" customHeight="1">
      <c r="B886" s="4" t="n"/>
    </row>
    <row r="887" ht="15.75" customHeight="1">
      <c r="B887" s="4" t="n"/>
    </row>
    <row r="888" ht="15.75" customHeight="1">
      <c r="B888" s="4" t="n"/>
    </row>
    <row r="889" ht="15.75" customHeight="1">
      <c r="B889" s="4" t="n"/>
    </row>
    <row r="890" ht="15.75" customHeight="1">
      <c r="B890" s="4" t="n"/>
    </row>
    <row r="891" ht="15.75" customHeight="1">
      <c r="B891" s="4" t="n"/>
    </row>
    <row r="892" ht="15.75" customHeight="1">
      <c r="B892" s="4" t="n"/>
    </row>
    <row r="893" ht="15.75" customHeight="1">
      <c r="B893" s="4" t="n"/>
    </row>
    <row r="894" ht="15.75" customHeight="1">
      <c r="B894" s="4" t="n"/>
    </row>
    <row r="895" ht="15.75" customHeight="1">
      <c r="B895" s="4" t="n"/>
    </row>
    <row r="896" ht="15.75" customHeight="1">
      <c r="B896" s="4" t="n"/>
    </row>
    <row r="897" ht="15.75" customHeight="1">
      <c r="B897" s="4" t="n"/>
    </row>
    <row r="898" ht="15.75" customHeight="1">
      <c r="B898" s="4" t="n"/>
    </row>
    <row r="899" ht="15.75" customHeight="1">
      <c r="B899" s="4" t="n"/>
    </row>
    <row r="900" ht="15.75" customHeight="1">
      <c r="B900" s="4" t="n"/>
    </row>
    <row r="901" ht="15.75" customHeight="1">
      <c r="B901" s="4" t="n"/>
    </row>
    <row r="902" ht="15.75" customHeight="1">
      <c r="B902" s="4" t="n"/>
    </row>
    <row r="903" ht="15.75" customHeight="1">
      <c r="B903" s="4" t="n"/>
    </row>
    <row r="904" ht="15.75" customHeight="1">
      <c r="B904" s="4" t="n"/>
    </row>
    <row r="905" ht="15.75" customHeight="1">
      <c r="B905" s="4" t="n"/>
    </row>
    <row r="906" ht="15.75" customHeight="1">
      <c r="B906" s="4" t="n"/>
    </row>
    <row r="907" ht="15.75" customHeight="1">
      <c r="B907" s="4" t="n"/>
    </row>
    <row r="908" ht="15.75" customHeight="1">
      <c r="B908" s="4" t="n"/>
    </row>
    <row r="909" ht="15.75" customHeight="1">
      <c r="B909" s="4" t="n"/>
    </row>
    <row r="910" ht="15.75" customHeight="1">
      <c r="B910" s="4" t="n"/>
    </row>
    <row r="911" ht="15.75" customHeight="1">
      <c r="B911" s="4" t="n"/>
    </row>
    <row r="912" ht="15.75" customHeight="1">
      <c r="B912" s="4" t="n"/>
    </row>
    <row r="913" ht="15.75" customHeight="1">
      <c r="B913" s="4" t="n"/>
    </row>
    <row r="914" ht="15.75" customHeight="1">
      <c r="B914" s="4" t="n"/>
    </row>
    <row r="915" ht="15.75" customHeight="1">
      <c r="B915" s="4" t="n"/>
    </row>
    <row r="916" ht="15.75" customHeight="1">
      <c r="B916" s="4" t="n"/>
    </row>
    <row r="917" ht="15.75" customHeight="1">
      <c r="B917" s="4" t="n"/>
    </row>
    <row r="918" ht="15.75" customHeight="1">
      <c r="B918" s="4" t="n"/>
    </row>
    <row r="919" ht="15.75" customHeight="1">
      <c r="B919" s="4" t="n"/>
    </row>
    <row r="920" ht="15.75" customHeight="1">
      <c r="B920" s="4" t="n"/>
    </row>
    <row r="921" ht="15.75" customHeight="1">
      <c r="B921" s="4" t="n"/>
    </row>
    <row r="922" ht="15.75" customHeight="1">
      <c r="B922" s="4" t="n"/>
    </row>
    <row r="923" ht="15.75" customHeight="1">
      <c r="B923" s="4" t="n"/>
    </row>
    <row r="924" ht="15.75" customHeight="1">
      <c r="B924" s="4" t="n"/>
    </row>
    <row r="925" ht="15.75" customHeight="1">
      <c r="B925" s="4" t="n"/>
    </row>
    <row r="926" ht="15.75" customHeight="1">
      <c r="B926" s="4" t="n"/>
    </row>
    <row r="927" ht="15.75" customHeight="1">
      <c r="B927" s="4" t="n"/>
    </row>
    <row r="928" ht="15.75" customHeight="1">
      <c r="B928" s="4" t="n"/>
    </row>
    <row r="929" ht="15.75" customHeight="1">
      <c r="B929" s="4" t="n"/>
    </row>
    <row r="930" ht="15.75" customHeight="1">
      <c r="B930" s="4" t="n"/>
    </row>
    <row r="931" ht="15.75" customHeight="1">
      <c r="B931" s="4" t="n"/>
    </row>
    <row r="932" ht="15.75" customHeight="1">
      <c r="B932" s="4" t="n"/>
    </row>
    <row r="933" ht="15.75" customHeight="1">
      <c r="B933" s="4" t="n"/>
    </row>
    <row r="934" ht="15.75" customHeight="1">
      <c r="B934" s="4" t="n"/>
    </row>
    <row r="935" ht="15.75" customHeight="1">
      <c r="B935" s="4" t="n"/>
    </row>
    <row r="936" ht="15.75" customHeight="1">
      <c r="B936" s="4" t="n"/>
    </row>
    <row r="937" ht="15.75" customHeight="1">
      <c r="B937" s="4" t="n"/>
    </row>
    <row r="938" ht="15.75" customHeight="1">
      <c r="B938" s="4" t="n"/>
    </row>
    <row r="939" ht="15.75" customHeight="1">
      <c r="B939" s="4" t="n"/>
    </row>
    <row r="940" ht="15.75" customHeight="1">
      <c r="B940" s="4" t="n"/>
    </row>
    <row r="941" ht="15.75" customHeight="1">
      <c r="B941" s="4" t="n"/>
    </row>
    <row r="942" ht="15.75" customHeight="1">
      <c r="B942" s="4" t="n"/>
    </row>
    <row r="943" ht="15.75" customHeight="1">
      <c r="B943" s="4" t="n"/>
    </row>
    <row r="944" ht="15.75" customHeight="1">
      <c r="B944" s="4" t="n"/>
    </row>
    <row r="945" ht="15.75" customHeight="1">
      <c r="B945" s="4" t="n"/>
    </row>
    <row r="946" ht="15.75" customHeight="1">
      <c r="B946" s="4" t="n"/>
    </row>
    <row r="947" ht="15.75" customHeight="1">
      <c r="B947" s="4" t="n"/>
    </row>
    <row r="948" ht="15.75" customHeight="1">
      <c r="B948" s="4" t="n"/>
    </row>
    <row r="949" ht="15.75" customHeight="1">
      <c r="B949" s="4" t="n"/>
    </row>
    <row r="950" ht="15.75" customHeight="1">
      <c r="B950" s="4" t="n"/>
    </row>
    <row r="951" ht="15.75" customHeight="1">
      <c r="B951" s="4" t="n"/>
    </row>
    <row r="952" ht="15.75" customHeight="1">
      <c r="B952" s="4" t="n"/>
    </row>
    <row r="953" ht="15.75" customHeight="1">
      <c r="B953" s="4" t="n"/>
    </row>
    <row r="954" ht="15.75" customHeight="1">
      <c r="B954" s="4" t="n"/>
    </row>
    <row r="955" ht="15.75" customHeight="1">
      <c r="B955" s="4" t="n"/>
    </row>
    <row r="956" ht="15.75" customHeight="1">
      <c r="B956" s="4" t="n"/>
    </row>
    <row r="957" ht="15.75" customHeight="1">
      <c r="B957" s="4" t="n"/>
    </row>
    <row r="958" ht="15.75" customHeight="1">
      <c r="B958" s="4" t="n"/>
    </row>
    <row r="959" ht="15.75" customHeight="1">
      <c r="B959" s="4" t="n"/>
    </row>
    <row r="960" ht="15.75" customHeight="1">
      <c r="B960" s="4" t="n"/>
    </row>
    <row r="961" ht="15.75" customHeight="1">
      <c r="B961" s="4" t="n"/>
    </row>
    <row r="962" ht="15.75" customHeight="1">
      <c r="B962" s="4" t="n"/>
    </row>
    <row r="963" ht="15.75" customHeight="1">
      <c r="B963" s="4" t="n"/>
    </row>
    <row r="964" ht="15.75" customHeight="1">
      <c r="B964" s="4" t="n"/>
    </row>
    <row r="965" ht="15.75" customHeight="1">
      <c r="B965" s="4" t="n"/>
    </row>
    <row r="966" ht="15.75" customHeight="1">
      <c r="B966" s="4" t="n"/>
    </row>
    <row r="967" ht="15.75" customHeight="1">
      <c r="B967" s="4" t="n"/>
    </row>
    <row r="968" ht="15.75" customHeight="1">
      <c r="B968" s="4" t="n"/>
    </row>
    <row r="969" ht="15.75" customHeight="1">
      <c r="B969" s="4" t="n"/>
    </row>
    <row r="970" ht="15.75" customHeight="1">
      <c r="B970" s="4" t="n"/>
    </row>
    <row r="971" ht="15.75" customHeight="1">
      <c r="B971" s="4" t="n"/>
    </row>
    <row r="972" ht="15.75" customHeight="1">
      <c r="B972" s="4" t="n"/>
    </row>
    <row r="973" ht="15.75" customHeight="1">
      <c r="B973" s="4" t="n"/>
    </row>
    <row r="974" ht="15.75" customHeight="1">
      <c r="B974" s="4" t="n"/>
    </row>
    <row r="975" ht="15.75" customHeight="1">
      <c r="B975" s="4" t="n"/>
    </row>
    <row r="976" ht="15.75" customHeight="1">
      <c r="B976" s="4" t="n"/>
    </row>
    <row r="977" ht="15.75" customHeight="1">
      <c r="B977" s="4" t="n"/>
    </row>
    <row r="978" ht="15.75" customHeight="1">
      <c r="B978" s="4" t="n"/>
    </row>
    <row r="979" ht="15.75" customHeight="1">
      <c r="B979" s="4" t="n"/>
    </row>
    <row r="980" ht="15.75" customHeight="1">
      <c r="B980" s="4" t="n"/>
    </row>
    <row r="981" ht="15.75" customHeight="1">
      <c r="B981" s="4" t="n"/>
    </row>
    <row r="982" ht="15.75" customHeight="1">
      <c r="B982" s="4" t="n"/>
    </row>
    <row r="983" ht="15.75" customHeight="1">
      <c r="B983" s="4" t="n"/>
    </row>
    <row r="984" ht="15.75" customHeight="1">
      <c r="B984" s="4" t="n"/>
    </row>
    <row r="985" ht="15.75" customHeight="1">
      <c r="B985" s="4" t="n"/>
    </row>
    <row r="986" ht="15.75" customHeight="1">
      <c r="B986" s="4" t="n"/>
    </row>
    <row r="987" ht="15.75" customHeight="1">
      <c r="B987" s="4" t="n"/>
    </row>
    <row r="988" ht="15.75" customHeight="1">
      <c r="B988" s="4" t="n"/>
    </row>
    <row r="989" ht="15.75" customHeight="1">
      <c r="B989" s="4" t="n"/>
    </row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topLeftCell="D1" workbookViewId="0">
      <selection activeCell="B7" sqref="B7"/>
    </sheetView>
  </sheetViews>
  <sheetFormatPr baseColWidth="8" defaultRowHeight="14"/>
  <cols>
    <col width="2.4140625" bestFit="1" customWidth="1" min="3" max="3"/>
    <col width="6.5" customWidth="1" min="4" max="4"/>
    <col width="42.83203125" customWidth="1" min="5" max="5"/>
    <col width="9.75" bestFit="1" customWidth="1" min="6" max="7"/>
    <col width="9.58203125" customWidth="1" min="8" max="8"/>
    <col width="11.08203125" bestFit="1" customWidth="1" min="9" max="9"/>
    <col width="22.83203125" customWidth="1" min="10" max="10"/>
    <col width="39.58203125" customWidth="1" min="12" max="12"/>
  </cols>
  <sheetData>
    <row r="1"/>
    <row r="2"/>
    <row r="3">
      <c r="C3" s="33" t="n"/>
      <c r="D3" s="33" t="n"/>
      <c r="E3" s="34" t="n"/>
      <c r="F3" s="33" t="n"/>
      <c r="G3" s="33" t="n"/>
      <c r="H3" s="33" t="n"/>
      <c r="I3" s="34" t="n"/>
      <c r="J3" s="33" t="n"/>
    </row>
    <row r="4" ht="26" customHeight="1">
      <c r="B4" s="35" t="n"/>
      <c r="C4" s="58" t="n"/>
      <c r="D4" s="58" t="n"/>
      <c r="E4" s="58" t="n"/>
      <c r="F4" s="58" t="n"/>
      <c r="G4" s="58" t="n"/>
      <c r="H4" s="58" t="n"/>
      <c r="I4" s="58" t="n"/>
      <c r="J4" s="58" t="n"/>
    </row>
    <row r="5" ht="15.5" customHeight="1">
      <c r="C5" s="36" t="n"/>
      <c r="D5" s="37" t="n"/>
      <c r="E5" s="38" t="n"/>
      <c r="F5" s="37" t="n"/>
      <c r="G5" s="37" t="n"/>
      <c r="H5" s="37" t="n"/>
      <c r="I5" s="37" t="n"/>
      <c r="J5" s="37" t="n"/>
    </row>
    <row r="6" ht="15.5" customHeight="1">
      <c r="C6" s="28" t="n"/>
      <c r="D6" s="28" t="n"/>
      <c r="E6" s="29" t="n"/>
      <c r="F6" s="31" t="n"/>
      <c r="G6" s="31" t="n"/>
      <c r="H6" s="31" t="n"/>
      <c r="I6" s="31">
        <f>SUM(F6:H6)</f>
        <v/>
      </c>
      <c r="J6" s="31" t="n"/>
    </row>
    <row r="7" ht="15.5" customHeight="1">
      <c r="C7" s="28" t="n"/>
      <c r="D7" s="28">
        <f>D6+1</f>
        <v/>
      </c>
      <c r="E7" s="29" t="n"/>
      <c r="F7" s="31" t="n"/>
      <c r="G7" s="31" t="n"/>
      <c r="H7" s="31" t="n"/>
      <c r="I7" s="31">
        <f>SUM(F7:H7)</f>
        <v/>
      </c>
      <c r="J7" s="31" t="n"/>
    </row>
    <row r="8" ht="15.5" customHeight="1">
      <c r="C8" s="28" t="n"/>
      <c r="D8" s="28">
        <f>D7+1</f>
        <v/>
      </c>
      <c r="E8" s="29" t="n"/>
      <c r="F8" s="31" t="n"/>
      <c r="G8" s="31" t="n"/>
      <c r="H8" s="31">
        <f>'4D_Real_Estate'!E10</f>
        <v/>
      </c>
      <c r="I8" s="31">
        <f>SUM(F8:H8)</f>
        <v/>
      </c>
      <c r="J8" s="31" t="n"/>
    </row>
    <row r="9" ht="15.5" customHeight="1">
      <c r="C9" s="28" t="n"/>
      <c r="D9" s="28">
        <f>D8+1</f>
        <v/>
      </c>
      <c r="E9" s="29" t="n"/>
      <c r="F9" s="31" t="n"/>
      <c r="G9" s="31" t="n"/>
      <c r="H9" s="31" t="n"/>
      <c r="I9" s="31">
        <f>SUM(F9:H9)</f>
        <v/>
      </c>
      <c r="J9" s="31" t="n"/>
    </row>
    <row r="10" ht="15.5" customHeight="1">
      <c r="C10" s="28" t="n"/>
      <c r="D10" s="28">
        <f>D9+1</f>
        <v/>
      </c>
      <c r="E10" s="29" t="n"/>
      <c r="F10" s="31" t="n"/>
      <c r="G10" s="31" t="n"/>
      <c r="H10" s="31" t="n"/>
      <c r="I10" s="31">
        <f>SUM(F10:H10)</f>
        <v/>
      </c>
      <c r="J10" s="31" t="n"/>
    </row>
    <row r="11" ht="15.5" customHeight="1">
      <c r="C11" s="28" t="n"/>
      <c r="D11" s="28">
        <f>D10+1</f>
        <v/>
      </c>
      <c r="E11" s="29" t="n"/>
      <c r="F11" s="31" t="n"/>
      <c r="G11" s="31" t="n"/>
      <c r="H11" s="31" t="n"/>
      <c r="I11" s="31">
        <f>SUM(F11:H11)</f>
        <v/>
      </c>
      <c r="J11" s="31" t="n"/>
    </row>
    <row r="12" ht="15.5" customHeight="1">
      <c r="C12" s="39" t="n"/>
      <c r="D12" s="39" t="n"/>
      <c r="E12" s="40" t="n"/>
      <c r="F12" s="41">
        <f>SUM(F6:F11)</f>
        <v/>
      </c>
      <c r="G12" s="41">
        <f>SUM(G6:G11)</f>
        <v/>
      </c>
      <c r="H12" s="41">
        <f>SUM(H6:H11)</f>
        <v/>
      </c>
      <c r="I12" s="41">
        <f>SUM(I6:I11)</f>
        <v/>
      </c>
      <c r="J12" s="41" t="n"/>
    </row>
    <row r="13">
      <c r="C13" s="28" t="n"/>
      <c r="D13" s="28" t="n"/>
      <c r="E13" s="28" t="n"/>
      <c r="F13" s="30" t="n"/>
      <c r="G13" s="30" t="n"/>
      <c r="H13" s="30" t="n"/>
      <c r="I13" s="30" t="n"/>
      <c r="J13" s="30" t="n"/>
    </row>
    <row r="14"/>
    <row r="15"/>
    <row r="16" ht="15.5" customHeight="1">
      <c r="C16" s="36" t="n"/>
      <c r="D16" s="37" t="n"/>
      <c r="E16" s="38" t="n"/>
      <c r="F16" s="42" t="n"/>
      <c r="G16" s="42" t="n"/>
      <c r="H16" s="42" t="n"/>
      <c r="I16" s="42" t="n"/>
      <c r="J16" s="42" t="n"/>
    </row>
    <row r="17" ht="15.5" customHeight="1">
      <c r="C17" s="28" t="n"/>
      <c r="D17" s="28" t="n"/>
      <c r="E17" s="29" t="n"/>
      <c r="F17" s="31" t="n"/>
      <c r="G17" s="31" t="n"/>
      <c r="H17" s="31" t="n"/>
      <c r="I17" s="31">
        <f>SUM(F17:H17)</f>
        <v/>
      </c>
      <c r="J17" s="31" t="n"/>
    </row>
    <row r="18" ht="15.5" customHeight="1">
      <c r="C18" s="28" t="n"/>
      <c r="D18" s="28">
        <f>+D17+1</f>
        <v/>
      </c>
      <c r="E18" s="29" t="n"/>
      <c r="F18" s="31" t="n"/>
      <c r="G18" s="31" t="n"/>
      <c r="H18" s="31" t="n"/>
      <c r="I18" s="31">
        <f>SUM(F18:H18)</f>
        <v/>
      </c>
      <c r="J18" s="31" t="n"/>
    </row>
    <row r="19" ht="15.5" customHeight="1">
      <c r="C19" s="28" t="n"/>
      <c r="D19" s="28" t="n"/>
      <c r="E19" s="29" t="n"/>
      <c r="F19" s="31" t="n"/>
      <c r="G19" s="31" t="n"/>
      <c r="H19" s="31" t="n"/>
      <c r="I19" s="31" t="n"/>
      <c r="J19" s="31" t="n"/>
    </row>
    <row r="20" ht="15.5" customHeight="1">
      <c r="C20" s="46" t="n"/>
      <c r="D20" s="46" t="n"/>
      <c r="E20" s="47" t="n"/>
      <c r="F20" s="57" t="n"/>
      <c r="G20" s="57" t="n"/>
      <c r="H20" s="57" t="n"/>
      <c r="I20" s="57" t="n"/>
      <c r="J20" s="57" t="n"/>
    </row>
    <row r="21"/>
    <row r="22"/>
    <row r="23" ht="15.5" customHeight="1">
      <c r="C23" s="36" t="n"/>
      <c r="D23" s="37" t="n"/>
      <c r="E23" s="38" t="n"/>
      <c r="F23" s="42" t="n"/>
      <c r="G23" s="42" t="n"/>
      <c r="H23" s="42" t="n"/>
      <c r="I23" s="42" t="n"/>
      <c r="J23" s="42" t="n"/>
    </row>
    <row r="24" ht="15.5" customHeight="1">
      <c r="C24" s="28" t="n"/>
      <c r="D24" s="28" t="n"/>
      <c r="E24" s="29" t="n"/>
      <c r="F24" s="31">
        <f>F6-F17-F18</f>
        <v/>
      </c>
      <c r="G24" s="31">
        <f>G6-G17-G18</f>
        <v/>
      </c>
      <c r="H24" s="31">
        <f>H6-H17-H18</f>
        <v/>
      </c>
      <c r="I24" s="31">
        <f>SUM(F24:H24)</f>
        <v/>
      </c>
      <c r="J24" s="31" t="n"/>
    </row>
    <row r="25" ht="15.5" customHeight="1">
      <c r="C25" s="28" t="n"/>
      <c r="D25" s="28">
        <f>D24+1</f>
        <v/>
      </c>
      <c r="E25" s="29" t="n"/>
      <c r="F25" s="31">
        <f>F7</f>
        <v/>
      </c>
      <c r="G25" s="31">
        <f>G7</f>
        <v/>
      </c>
      <c r="H25" s="31">
        <f>H7</f>
        <v/>
      </c>
      <c r="I25" s="31">
        <f>SUM(F25:H25)</f>
        <v/>
      </c>
      <c r="J25" s="31" t="n"/>
    </row>
    <row r="26" ht="15.5" customHeight="1">
      <c r="C26" s="28" t="n"/>
      <c r="D26" s="28">
        <f>D25+1</f>
        <v/>
      </c>
      <c r="E26" s="29" t="n"/>
      <c r="F26" s="31">
        <f>F8</f>
        <v/>
      </c>
      <c r="G26" s="31">
        <f>G8</f>
        <v/>
      </c>
      <c r="H26" s="31">
        <f>H8</f>
        <v/>
      </c>
      <c r="I26" s="31">
        <f>SUM(F26:H26)</f>
        <v/>
      </c>
      <c r="J26" s="31" t="n"/>
    </row>
    <row r="27" ht="15.5" customHeight="1">
      <c r="C27" s="28" t="n"/>
      <c r="D27" s="28">
        <f>D26+1</f>
        <v/>
      </c>
      <c r="E27" s="29" t="n"/>
      <c r="F27" s="31">
        <f>F9</f>
        <v/>
      </c>
      <c r="G27" s="31">
        <f>G9</f>
        <v/>
      </c>
      <c r="H27" s="31">
        <f>H9</f>
        <v/>
      </c>
      <c r="I27" s="31">
        <f>SUM(F27:H27)</f>
        <v/>
      </c>
      <c r="J27" s="31" t="n"/>
    </row>
    <row r="28" ht="15.5" customHeight="1">
      <c r="C28" s="28" t="n"/>
      <c r="D28" s="28">
        <f>D27+1</f>
        <v/>
      </c>
      <c r="E28" s="29" t="n"/>
      <c r="F28" s="31">
        <f>F10</f>
        <v/>
      </c>
      <c r="G28" s="31">
        <f>G10</f>
        <v/>
      </c>
      <c r="H28" s="31">
        <f>H10</f>
        <v/>
      </c>
      <c r="I28" s="31">
        <f>SUM(F28:H28)</f>
        <v/>
      </c>
      <c r="J28" s="31" t="n"/>
    </row>
    <row r="29" ht="15.5" customHeight="1">
      <c r="C29" s="28" t="n"/>
      <c r="D29" s="28">
        <f>D28+1</f>
        <v/>
      </c>
      <c r="E29" s="29" t="n"/>
      <c r="F29" s="31">
        <f>F11</f>
        <v/>
      </c>
      <c r="G29" s="31">
        <f>G11</f>
        <v/>
      </c>
      <c r="H29" s="31">
        <f>H11</f>
        <v/>
      </c>
      <c r="I29" s="31">
        <f>SUM(F29:H29)</f>
        <v/>
      </c>
      <c r="J29" s="31" t="n"/>
    </row>
    <row r="30" ht="15.5" customHeight="1">
      <c r="C30" s="39" t="n"/>
      <c r="D30" s="39" t="n"/>
      <c r="E30" s="40" t="n"/>
      <c r="F30" s="41">
        <f>SUM(F24:F29)</f>
        <v/>
      </c>
      <c r="G30" s="41">
        <f>SUM(G24:G29)</f>
        <v/>
      </c>
      <c r="H30" s="41">
        <f>SUM(H24:H29)</f>
        <v/>
      </c>
      <c r="I30" s="41">
        <f>SUM(I24:I29)</f>
        <v/>
      </c>
      <c r="J30" s="41" t="n"/>
    </row>
    <row r="31">
      <c r="C31" s="28" t="n"/>
      <c r="D31" s="28" t="n"/>
      <c r="E31" s="28" t="n"/>
      <c r="F31" s="30" t="n"/>
      <c r="G31" s="30" t="n"/>
      <c r="H31" s="30" t="n"/>
      <c r="I31" s="30" t="n"/>
      <c r="J31" s="30" t="n"/>
    </row>
    <row r="32"/>
    <row r="33"/>
    <row r="34"/>
    <row r="35"/>
    <row r="36"/>
    <row r="37"/>
    <row r="38"/>
    <row r="39"/>
    <row r="40"/>
    <row r="41">
      <c r="E41" s="5" t="n"/>
    </row>
    <row r="42"/>
    <row r="43"/>
    <row r="44"/>
    <row r="45">
      <c r="E45" s="5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topLeftCell="A10" workbookViewId="0">
      <selection activeCell="I6" sqref="I6"/>
    </sheetView>
  </sheetViews>
  <sheetFormatPr baseColWidth="8" defaultRowHeight="14"/>
  <cols>
    <col width="2.4140625" bestFit="1" customWidth="1" min="3" max="3"/>
    <col width="6.5" customWidth="1" min="4" max="4"/>
    <col width="42.83203125" customWidth="1" min="5" max="5"/>
    <col width="9.58203125" bestFit="1" customWidth="1" min="6" max="7"/>
    <col width="9.58203125" customWidth="1" min="8" max="8"/>
    <col width="11.08203125" bestFit="1" customWidth="1" min="9" max="9"/>
    <col width="22.83203125" customWidth="1" min="10" max="10"/>
    <col width="39.58203125" customWidth="1" min="12" max="12"/>
  </cols>
  <sheetData>
    <row r="1"/>
    <row r="2"/>
    <row r="3">
      <c r="C3" s="33" t="n"/>
      <c r="D3" s="33" t="n"/>
      <c r="E3" s="34" t="n"/>
      <c r="F3" s="33" t="n"/>
      <c r="G3" s="33" t="n"/>
      <c r="H3" s="33" t="n"/>
      <c r="I3" s="34" t="n"/>
      <c r="J3" s="33" t="n"/>
    </row>
    <row r="4" ht="39" customHeight="1">
      <c r="B4" s="35" t="n"/>
      <c r="C4" s="27" t="n"/>
      <c r="D4" s="27" t="n"/>
      <c r="E4" s="27" t="n"/>
      <c r="F4" s="27" t="n"/>
      <c r="G4" s="27" t="n"/>
      <c r="H4" s="27" t="n"/>
      <c r="I4" s="27" t="n"/>
      <c r="J4" s="58" t="n"/>
    </row>
    <row r="5" ht="15.5" customHeight="1">
      <c r="C5" s="28" t="n"/>
      <c r="D5" s="43" t="n"/>
      <c r="E5" s="44" t="n"/>
      <c r="F5" s="30" t="n"/>
      <c r="G5" s="30" t="n"/>
      <c r="H5" s="30" t="n"/>
      <c r="I5" s="31">
        <f>SUM(F5:H5)</f>
        <v/>
      </c>
      <c r="J5" s="30" t="n"/>
    </row>
    <row r="6" ht="15.5" customHeight="1">
      <c r="C6" s="28" t="n"/>
      <c r="D6" s="29" t="n"/>
      <c r="E6" s="29" t="n"/>
      <c r="F6" s="30" t="n"/>
      <c r="G6" s="30" t="n"/>
      <c r="H6" s="30" t="n"/>
      <c r="I6" s="31">
        <f>SUM(F6:H6)</f>
        <v/>
      </c>
      <c r="J6" s="31" t="n"/>
    </row>
    <row r="7" ht="31" customHeight="1">
      <c r="C7" s="28" t="n"/>
      <c r="D7" s="29">
        <f>D6+1</f>
        <v/>
      </c>
      <c r="E7" s="29" t="n"/>
      <c r="F7" s="30" t="n"/>
      <c r="G7" s="30" t="n"/>
      <c r="H7" s="30" t="n"/>
      <c r="I7" s="31">
        <f>SUM(F7:H7)</f>
        <v/>
      </c>
      <c r="J7" s="31" t="n"/>
    </row>
    <row r="8" ht="31" customHeight="1">
      <c r="C8" s="28" t="n"/>
      <c r="D8" s="29">
        <f>D7+1</f>
        <v/>
      </c>
      <c r="E8" s="29" t="n"/>
      <c r="F8" s="30" t="n"/>
      <c r="G8" s="30" t="n"/>
      <c r="H8" s="30" t="n"/>
      <c r="I8" s="31">
        <f>SUM(F8:H8)</f>
        <v/>
      </c>
      <c r="J8" s="31" t="n"/>
    </row>
    <row r="9" ht="31" customHeight="1">
      <c r="C9" s="28" t="n"/>
      <c r="D9" s="29">
        <f>D8+1</f>
        <v/>
      </c>
      <c r="E9" s="29" t="n"/>
      <c r="F9" s="30" t="n"/>
      <c r="G9" s="30" t="n"/>
      <c r="H9" s="30" t="n"/>
      <c r="I9" s="31">
        <f>SUM(F9:H9)</f>
        <v/>
      </c>
      <c r="J9" s="31" t="n"/>
    </row>
    <row r="10" ht="15.5" customHeight="1">
      <c r="C10" s="28" t="n"/>
      <c r="D10" s="29">
        <f>D9+1</f>
        <v/>
      </c>
      <c r="E10" s="29" t="n"/>
      <c r="F10" s="30" t="n"/>
      <c r="G10" s="30" t="n"/>
      <c r="H10" s="30" t="n"/>
      <c r="I10" s="31">
        <f>SUM(F10:H10)</f>
        <v/>
      </c>
      <c r="J10" s="31" t="n"/>
    </row>
    <row r="11" ht="46.5" customHeight="1">
      <c r="C11" s="28" t="n"/>
      <c r="D11" s="29">
        <f>D10+1</f>
        <v/>
      </c>
      <c r="E11" s="29" t="n"/>
      <c r="F11" s="30" t="n"/>
      <c r="G11" s="30" t="n"/>
      <c r="H11" s="30" t="n"/>
      <c r="I11" s="31">
        <f>SUM(F11:H11)</f>
        <v/>
      </c>
      <c r="J11" s="31" t="n"/>
    </row>
    <row r="12" ht="31" customHeight="1">
      <c r="C12" s="28" t="n"/>
      <c r="D12" s="29">
        <f>D11+1</f>
        <v/>
      </c>
      <c r="E12" s="29" t="n"/>
      <c r="F12" s="30" t="n"/>
      <c r="G12" s="30" t="n"/>
      <c r="H12" s="30" t="n"/>
      <c r="I12" s="31">
        <f>SUM(F12:H12)</f>
        <v/>
      </c>
      <c r="J12" s="31" t="n"/>
    </row>
    <row r="13" ht="15.5" customHeight="1">
      <c r="C13" s="28" t="n"/>
      <c r="D13" s="29">
        <f>D12+1</f>
        <v/>
      </c>
      <c r="E13" s="29" t="n"/>
      <c r="F13" s="30" t="n"/>
      <c r="G13" s="30" t="n"/>
      <c r="H13" s="30" t="n"/>
      <c r="I13" s="31">
        <f>SUM(F13:H13)</f>
        <v/>
      </c>
      <c r="J13" s="31" t="n"/>
    </row>
    <row r="14" ht="15.5" customHeight="1">
      <c r="C14" s="28" t="n"/>
      <c r="D14" s="29">
        <f>D13+1</f>
        <v/>
      </c>
      <c r="E14" s="29" t="n"/>
      <c r="F14" s="30" t="n"/>
      <c r="G14" s="30" t="n"/>
      <c r="H14" s="30" t="n"/>
      <c r="I14" s="31">
        <f>SUM(F14:H14)</f>
        <v/>
      </c>
      <c r="J14" s="31" t="n"/>
    </row>
    <row r="15" ht="15.5" customHeight="1">
      <c r="C15" s="28" t="n"/>
      <c r="D15" s="29">
        <f>D14+1</f>
        <v/>
      </c>
      <c r="E15" s="29" t="n"/>
      <c r="F15" s="30" t="n"/>
      <c r="G15" s="30" t="n"/>
      <c r="H15" s="30" t="n"/>
      <c r="I15" s="31">
        <f>SUM(F15:H15)</f>
        <v/>
      </c>
      <c r="J15" s="31" t="n"/>
    </row>
    <row r="16" ht="15.5" customHeight="1">
      <c r="C16" s="28" t="n"/>
      <c r="D16" s="29">
        <f>D15+1</f>
        <v/>
      </c>
      <c r="E16" s="29" t="n"/>
      <c r="F16" s="30" t="n"/>
      <c r="G16" s="30" t="n"/>
      <c r="H16" s="30" t="n"/>
      <c r="I16" s="31">
        <f>SUM(F16:H16)</f>
        <v/>
      </c>
      <c r="J16" s="31" t="n"/>
    </row>
    <row r="17" ht="15.5" customHeight="1">
      <c r="C17" s="28" t="n"/>
      <c r="D17" s="29" t="n"/>
      <c r="E17" s="29" t="n"/>
      <c r="F17" s="30" t="n"/>
      <c r="G17" s="30" t="n"/>
      <c r="H17" s="30" t="n"/>
      <c r="I17" s="31" t="n"/>
      <c r="J17" s="31" t="n"/>
    </row>
    <row r="18" ht="15.5" customHeight="1">
      <c r="C18" s="28" t="n"/>
      <c r="D18" s="43" t="n"/>
      <c r="E18" s="44" t="n"/>
      <c r="F18" s="30" t="n"/>
      <c r="G18" s="30" t="n"/>
      <c r="H18" s="30" t="n"/>
      <c r="I18" s="30" t="n"/>
      <c r="J18" s="30" t="n"/>
    </row>
    <row r="19" ht="31" customHeight="1">
      <c r="C19" s="28" t="n"/>
      <c r="D19" s="28" t="n"/>
      <c r="E19" s="29" t="n"/>
      <c r="F19" s="30" t="n"/>
      <c r="G19" s="30" t="n"/>
      <c r="H19" s="30" t="n"/>
      <c r="I19" s="31">
        <f>SUM(F19:H19)</f>
        <v/>
      </c>
      <c r="J19" s="31" t="n"/>
    </row>
    <row r="20" ht="15.5" customHeight="1">
      <c r="C20" s="28" t="n"/>
      <c r="D20" s="28" t="n"/>
      <c r="E20" s="29" t="n"/>
      <c r="F20" s="30" t="n"/>
      <c r="G20" s="30" t="n"/>
      <c r="H20" s="30" t="n"/>
      <c r="I20" s="31">
        <f>SUM(F20:H20)</f>
        <v/>
      </c>
      <c r="J20" s="31" t="n"/>
    </row>
    <row r="21">
      <c r="C21" s="28" t="n"/>
      <c r="D21" s="28" t="n"/>
      <c r="E21" s="28" t="n"/>
      <c r="F21" s="30" t="n"/>
      <c r="G21" s="30" t="n"/>
      <c r="H21" s="30" t="n"/>
      <c r="I21" s="30" t="n"/>
      <c r="J21" s="30" t="n"/>
    </row>
    <row r="22" ht="15.5" customHeight="1">
      <c r="C22" s="28" t="n"/>
      <c r="D22" s="43" t="n"/>
      <c r="E22" s="44" t="n"/>
      <c r="F22" s="30" t="n"/>
      <c r="G22" s="30" t="n"/>
      <c r="H22" s="30" t="n"/>
      <c r="I22" s="30" t="n"/>
      <c r="J22" s="30" t="n"/>
    </row>
    <row r="23" ht="15.5" customHeight="1">
      <c r="C23" s="28" t="n"/>
      <c r="D23" s="29" t="n"/>
      <c r="E23" s="29" t="n"/>
      <c r="F23" s="30" t="n"/>
      <c r="G23" s="30" t="n"/>
      <c r="H23" s="30" t="n"/>
      <c r="I23" s="31">
        <f>SUM(F23:H23)</f>
        <v/>
      </c>
      <c r="J23" s="31" t="n"/>
    </row>
    <row r="24" ht="15.5" customHeight="1">
      <c r="C24" s="28" t="n"/>
      <c r="D24" s="29">
        <f>D23+1</f>
        <v/>
      </c>
      <c r="E24" s="29" t="n"/>
      <c r="F24" s="30" t="n"/>
      <c r="G24" s="30" t="n"/>
      <c r="H24" s="30" t="n"/>
      <c r="I24" s="31">
        <f>SUM(F24:H24)</f>
        <v/>
      </c>
      <c r="J24" s="31" t="n"/>
    </row>
    <row r="25" ht="15.5" customHeight="1">
      <c r="C25" s="28" t="n"/>
      <c r="D25" s="29">
        <f>D24+1</f>
        <v/>
      </c>
      <c r="E25" s="29" t="n"/>
      <c r="F25" s="30" t="n"/>
      <c r="G25" s="30" t="n"/>
      <c r="H25" s="30" t="n"/>
      <c r="I25" s="31">
        <f>SUM(F25:H25)</f>
        <v/>
      </c>
      <c r="J25" s="31" t="n"/>
    </row>
    <row r="26" ht="15.5" customHeight="1">
      <c r="C26" s="39" t="n"/>
      <c r="D26" s="39" t="n"/>
      <c r="E26" s="40" t="n"/>
      <c r="F26" s="41">
        <f>SUM(F5:F21)</f>
        <v/>
      </c>
      <c r="G26" s="41">
        <f>SUM(G5:G21)</f>
        <v/>
      </c>
      <c r="H26" s="41">
        <f>SUM(H5:H25)</f>
        <v/>
      </c>
      <c r="I26" s="41">
        <f>SUM(I5:I25)</f>
        <v/>
      </c>
      <c r="J26" s="41" t="n"/>
    </row>
    <row r="27">
      <c r="C27" s="28" t="n"/>
      <c r="D27" s="28" t="n"/>
      <c r="E27" s="28" t="n"/>
      <c r="F27" s="30" t="n"/>
      <c r="G27" s="30" t="n"/>
      <c r="H27" s="30" t="n"/>
      <c r="I27" s="30" t="n"/>
      <c r="J27" s="30" t="n"/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 ht="15.5" customHeight="1">
      <c r="C43" s="46" t="n"/>
      <c r="D43" s="46" t="n"/>
      <c r="E43" s="3" t="n"/>
      <c r="F43" s="4" t="n"/>
      <c r="G43" s="46" t="n"/>
      <c r="H43" s="46" t="n"/>
      <c r="I43" s="48" t="n"/>
      <c r="J43" s="48" t="n"/>
    </row>
    <row r="44" ht="15.5" customHeight="1">
      <c r="C44" s="46" t="n"/>
      <c r="D44" s="46" t="n"/>
      <c r="E44" s="3" t="n"/>
      <c r="F44" s="4" t="n"/>
      <c r="G44" s="46" t="n"/>
      <c r="H44" s="46" t="n"/>
      <c r="I44" s="48" t="n"/>
      <c r="J44" s="48" t="n"/>
    </row>
    <row r="45" ht="15.5" customHeight="1">
      <c r="C45" s="46" t="n"/>
      <c r="D45" s="46" t="n"/>
      <c r="E45" s="3" t="n"/>
      <c r="F45" s="4" t="n"/>
      <c r="G45" s="46" t="n"/>
      <c r="H45" s="46" t="n"/>
      <c r="I45" s="48" t="n"/>
      <c r="J45" s="48" t="n"/>
    </row>
    <row r="46" ht="14.5" customHeight="1">
      <c r="E46" s="3" t="n"/>
      <c r="F46" s="4" t="n"/>
    </row>
    <row r="47" ht="14.5" customHeight="1">
      <c r="E47" s="3" t="n"/>
      <c r="F47" s="4" t="n"/>
    </row>
    <row r="48" ht="14.5" customHeight="1">
      <c r="E48" s="3" t="n"/>
      <c r="F48" s="4" t="n"/>
    </row>
    <row r="49" ht="14.5" customHeight="1">
      <c r="E49" s="3" t="n"/>
      <c r="F49" s="4" t="n"/>
    </row>
    <row r="50" ht="14.5" customHeight="1">
      <c r="E50" s="3" t="n"/>
      <c r="F50" s="2" t="n"/>
    </row>
    <row r="51"/>
    <row r="52">
      <c r="E52" s="5" t="n"/>
    </row>
    <row r="53"/>
    <row r="54"/>
    <row r="55"/>
    <row r="56"/>
    <row r="57"/>
    <row r="58"/>
    <row r="59"/>
    <row r="60"/>
    <row r="61"/>
    <row r="62">
      <c r="E62" s="5" t="n"/>
    </row>
    <row r="63"/>
    <row r="64"/>
    <row r="65"/>
    <row r="66"/>
    <row r="67"/>
    <row r="68"/>
    <row r="69"/>
    <row r="70"/>
    <row r="71"/>
    <row r="72"/>
    <row r="73">
      <c r="E73" s="5" t="n"/>
    </row>
    <row r="74"/>
    <row r="75"/>
    <row r="76"/>
    <row r="77"/>
    <row r="78"/>
    <row r="79"/>
    <row r="80"/>
    <row r="81"/>
    <row r="82">
      <c r="E82" s="5" t="n"/>
    </row>
    <row r="83"/>
    <row r="84"/>
    <row r="85"/>
    <row r="86"/>
    <row r="87">
      <c r="E87" s="5" t="n"/>
    </row>
    <row r="88"/>
    <row r="89"/>
    <row r="90"/>
    <row r="91"/>
    <row r="92"/>
    <row r="93">
      <c r="E93" s="5" t="n"/>
    </row>
    <row r="94"/>
    <row r="95"/>
    <row r="96"/>
    <row r="97"/>
    <row r="98">
      <c r="E98" s="5" t="n"/>
    </row>
    <row r="99"/>
    <row r="100"/>
    <row r="101"/>
    <row r="102"/>
    <row r="103"/>
    <row r="104"/>
    <row r="105"/>
    <row r="106"/>
    <row r="107"/>
    <row r="108"/>
    <row r="109">
      <c r="E109" s="5" t="n"/>
    </row>
    <row r="110"/>
    <row r="111"/>
    <row r="112"/>
    <row r="113">
      <c r="E113" s="5" t="n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99"/>
  <sheetViews>
    <sheetView showGridLines="0" topLeftCell="A22" zoomScale="80" workbookViewId="0">
      <selection activeCell="B7" sqref="B7"/>
    </sheetView>
  </sheetViews>
  <sheetFormatPr baseColWidth="8" defaultColWidth="12.6640625" defaultRowHeight="15" customHeight="1"/>
  <cols>
    <col width="3" customWidth="1" min="1" max="1"/>
    <col width="41.6640625" customWidth="1" min="2" max="2"/>
    <col width="30.5" customWidth="1" min="3" max="3"/>
    <col width="19.9140625" customWidth="1" min="4" max="4"/>
    <col width="8.75" customWidth="1" min="5" max="6"/>
    <col width="9.25" bestFit="1" customWidth="1" min="7" max="7"/>
    <col width="14.4140625" customWidth="1" min="8" max="27"/>
  </cols>
  <sheetData>
    <row r="1" ht="26" customHeight="1">
      <c r="B1" s="27" t="inlineStr">
        <is>
          <t>Question</t>
        </is>
      </c>
      <c r="C1" s="27" t="inlineStr">
        <is>
          <t>Answer</t>
        </is>
      </c>
      <c r="D1" s="27" t="inlineStr">
        <is>
          <t>Optional Remarks /Comments</t>
        </is>
      </c>
    </row>
    <row r="2" ht="14.5" customHeight="1">
      <c r="B2" s="84" t="inlineStr">
        <is>
          <t>Emergency fund available? (Yes/No)</t>
        </is>
      </c>
      <c r="C2" s="183" t="inlineStr">
        <is>
          <t>yes</t>
        </is>
      </c>
      <c r="D2" s="73" t="n"/>
    </row>
    <row r="3" ht="14.5" customHeight="1">
      <c r="B3" s="84" t="n"/>
      <c r="C3" s="184" t="n"/>
      <c r="D3" s="153">
        <f>D5*6</f>
        <v/>
      </c>
    </row>
    <row r="4" ht="14.5" customHeight="1">
      <c r="B4" s="84" t="n"/>
      <c r="C4" s="183" t="n"/>
      <c r="D4" s="73" t="n"/>
    </row>
    <row r="5" ht="14.5" customHeight="1">
      <c r="B5" s="84" t="n"/>
      <c r="C5" s="183">
        <f>'3_Expenses '!I26</f>
        <v/>
      </c>
      <c r="D5" s="182">
        <f>G22</f>
        <v/>
      </c>
    </row>
    <row r="6" ht="14.5" customHeight="1">
      <c r="B6" s="84" t="n"/>
      <c r="C6" s="185">
        <f>C3/C5</f>
        <v/>
      </c>
      <c r="D6" s="73" t="n"/>
    </row>
    <row r="7" ht="14" customHeight="1">
      <c r="C7" s="4" t="n"/>
    </row>
    <row r="8" ht="14" customHeight="1">
      <c r="C8" s="4" t="n"/>
    </row>
    <row r="9" ht="14.5" customHeight="1">
      <c r="B9" s="177" t="n"/>
      <c r="C9" s="4" t="n"/>
    </row>
    <row r="10" ht="14" customHeight="1">
      <c r="B10" s="178" t="n"/>
      <c r="C10" s="4" t="n"/>
      <c r="D10">
        <f>'3_Expenses '!E6</f>
        <v/>
      </c>
      <c r="G10">
        <f>'3_Expenses '!H6</f>
        <v/>
      </c>
    </row>
    <row r="11" ht="14" customHeight="1">
      <c r="B11" s="179" t="n"/>
      <c r="C11" s="4" t="n"/>
      <c r="D11">
        <f>'3_Expenses '!E7</f>
        <v/>
      </c>
      <c r="G11">
        <f>'3_Expenses '!H7</f>
        <v/>
      </c>
    </row>
    <row r="12" ht="14" customHeight="1">
      <c r="B12" s="180" t="n"/>
      <c r="C12" s="4" t="n"/>
      <c r="D12">
        <f>'3_Expenses '!E8</f>
        <v/>
      </c>
      <c r="G12">
        <f>'3_Expenses '!H8</f>
        <v/>
      </c>
    </row>
    <row r="13" ht="14" customHeight="1">
      <c r="B13" s="179" t="n"/>
      <c r="C13" s="4" t="n"/>
      <c r="D13">
        <f>'3_Expenses '!E9</f>
        <v/>
      </c>
      <c r="G13">
        <f>'3_Expenses '!H9</f>
        <v/>
      </c>
    </row>
    <row r="14" ht="14" customHeight="1">
      <c r="B14" s="195" t="n"/>
      <c r="C14" s="4" t="n"/>
      <c r="D14">
        <f>'3_Expenses '!E10</f>
        <v/>
      </c>
      <c r="G14">
        <f>'3_Expenses '!H10</f>
        <v/>
      </c>
    </row>
    <row r="15" ht="14" customHeight="1">
      <c r="B15" s="181" t="n"/>
      <c r="C15" s="4" t="n"/>
      <c r="D15">
        <f>'3_Expenses '!E11</f>
        <v/>
      </c>
      <c r="G15">
        <f>'3_Expenses '!H11</f>
        <v/>
      </c>
    </row>
    <row r="16" ht="14" customHeight="1">
      <c r="B16" s="194" t="n"/>
      <c r="C16" s="4" t="n"/>
    </row>
    <row r="17" ht="14" customHeight="1">
      <c r="B17" s="194" t="n"/>
      <c r="C17" s="4" t="n"/>
      <c r="D17">
        <f>'3_Expenses '!E13</f>
        <v/>
      </c>
      <c r="G17">
        <f>'3_Expenses '!H13</f>
        <v/>
      </c>
    </row>
    <row r="18" ht="14" customHeight="1">
      <c r="B18" s="194" t="n"/>
      <c r="C18" s="4" t="n"/>
      <c r="D18">
        <f>'3_Expenses '!E14</f>
        <v/>
      </c>
      <c r="G18">
        <f>'3_Expenses '!H14</f>
        <v/>
      </c>
    </row>
    <row r="19" ht="14" customHeight="1">
      <c r="B19" s="194" t="n"/>
      <c r="C19" s="4" t="n"/>
      <c r="D19">
        <f>'3_Expenses '!E15</f>
        <v/>
      </c>
      <c r="G19">
        <f>'3_Expenses '!H15</f>
        <v/>
      </c>
    </row>
    <row r="20" ht="15.75" customHeight="1">
      <c r="B20" s="179" t="n"/>
      <c r="C20" s="4" t="n"/>
      <c r="D20">
        <f>'3_Expenses '!E23</f>
        <v/>
      </c>
      <c r="G20">
        <f>'3_Expenses '!H23</f>
        <v/>
      </c>
    </row>
    <row r="21" ht="15.75" customHeight="1">
      <c r="B21" s="180" t="n"/>
      <c r="C21" s="4" t="n"/>
      <c r="D21">
        <f>'3_Expenses '!E24</f>
        <v/>
      </c>
      <c r="G21">
        <f>'3_Expenses '!H24</f>
        <v/>
      </c>
    </row>
    <row r="22" ht="15.75" customHeight="1">
      <c r="B22" s="181" t="n"/>
      <c r="C22" s="4" t="n"/>
      <c r="D22" s="22" t="n"/>
      <c r="G22" s="362">
        <f>SUM(G10:G21)</f>
        <v/>
      </c>
      <c r="H22" s="362" t="n"/>
    </row>
    <row r="23" ht="15.75" customHeight="1">
      <c r="B23" s="194" t="n"/>
      <c r="C23" s="4" t="n"/>
    </row>
    <row r="24" ht="15.75" customHeight="1">
      <c r="B24" s="194" t="n"/>
      <c r="C24" s="4" t="n"/>
    </row>
    <row r="25" ht="15.75" customHeight="1">
      <c r="B25" s="194" t="n"/>
      <c r="C25" s="4" t="n"/>
    </row>
    <row r="26" ht="15.75" customHeight="1">
      <c r="C26" s="4" t="n"/>
    </row>
    <row r="27" ht="15.75" customHeight="1">
      <c r="C27" s="4" t="n"/>
    </row>
    <row r="28" ht="15.75" customHeight="1">
      <c r="B28" s="196" t="n"/>
      <c r="C28" s="197" t="n"/>
    </row>
    <row r="29" ht="15.75" customHeight="1">
      <c r="B29" s="198" t="n"/>
      <c r="C29" s="199" t="n"/>
    </row>
    <row r="30" ht="15.75" customHeight="1">
      <c r="B30" s="198" t="n"/>
      <c r="C30" s="199" t="n"/>
    </row>
    <row r="31" ht="15.75" customHeight="1">
      <c r="C31" s="4" t="n"/>
    </row>
    <row r="32" ht="15.75" customHeight="1">
      <c r="B32" s="22" t="n"/>
      <c r="C32" s="525">
        <f>'11. Inc Exp,Networth,Rec Invest'!I10</f>
        <v/>
      </c>
      <c r="D32" s="22" t="n"/>
    </row>
    <row r="33" ht="15.75" customHeight="1">
      <c r="C33" s="4" t="n"/>
    </row>
    <row r="34" ht="15.75" customHeight="1">
      <c r="C34" s="4" t="n"/>
    </row>
    <row r="35" ht="15.75" customHeight="1">
      <c r="C35" s="4" t="n"/>
    </row>
    <row r="36" ht="15.75" customHeight="1">
      <c r="C36" s="4" t="n"/>
    </row>
    <row r="37" ht="15.75" customHeight="1">
      <c r="C37" s="4" t="n"/>
    </row>
    <row r="38" ht="15.75" customHeight="1">
      <c r="C38" s="4" t="n"/>
    </row>
    <row r="39" ht="15.75" customHeight="1">
      <c r="C39" s="4" t="n"/>
    </row>
    <row r="40" ht="15.75" customHeight="1">
      <c r="C40" s="4" t="n"/>
    </row>
    <row r="41" ht="15.75" customHeight="1">
      <c r="C41" s="4" t="n"/>
    </row>
    <row r="42" ht="15.75" customHeight="1">
      <c r="C42" s="4" t="n"/>
    </row>
    <row r="43" ht="15.75" customHeight="1">
      <c r="C43" s="4" t="n"/>
    </row>
    <row r="44" ht="15.75" customHeight="1">
      <c r="C44" s="4" t="n"/>
    </row>
    <row r="45" ht="15.75" customHeight="1">
      <c r="C45" s="4" t="n"/>
    </row>
    <row r="46" ht="15.75" customHeight="1">
      <c r="C46" s="4" t="n"/>
    </row>
    <row r="47" ht="15.75" customHeight="1">
      <c r="C47" s="4" t="n"/>
    </row>
    <row r="48" ht="15.75" customHeight="1">
      <c r="C48" s="4" t="n"/>
    </row>
    <row r="49" ht="15.75" customHeight="1">
      <c r="C49" s="4" t="n"/>
    </row>
    <row r="50" ht="15.75" customHeight="1">
      <c r="C50" s="4" t="n"/>
    </row>
    <row r="51" ht="15.75" customHeight="1">
      <c r="C51" s="4" t="n"/>
    </row>
    <row r="52" ht="15.75" customHeight="1">
      <c r="C52" s="4" t="n"/>
    </row>
    <row r="53" ht="15.75" customHeight="1">
      <c r="C53" s="4" t="n"/>
    </row>
    <row r="54" ht="15.75" customHeight="1">
      <c r="C54" s="4" t="n"/>
    </row>
    <row r="55" ht="15.75" customHeight="1">
      <c r="C55" s="4" t="n"/>
    </row>
    <row r="56" ht="15.75" customHeight="1">
      <c r="C56" s="4" t="n"/>
    </row>
    <row r="57" ht="15.75" customHeight="1">
      <c r="C57" s="4" t="n"/>
    </row>
    <row r="58" ht="15.75" customHeight="1">
      <c r="C58" s="4" t="n"/>
    </row>
    <row r="59" ht="15.75" customHeight="1">
      <c r="C59" s="4" t="n"/>
    </row>
    <row r="60" ht="15.75" customHeight="1">
      <c r="C60" s="4" t="n"/>
    </row>
    <row r="61" ht="15.75" customHeight="1">
      <c r="C61" s="4" t="n"/>
    </row>
    <row r="62" ht="15.75" customHeight="1">
      <c r="C62" s="4" t="n"/>
    </row>
    <row r="63" ht="15.75" customHeight="1">
      <c r="C63" s="4" t="n"/>
    </row>
    <row r="64" ht="15.75" customHeight="1">
      <c r="C64" s="4" t="n"/>
    </row>
    <row r="65" ht="15.75" customHeight="1">
      <c r="C65" s="4" t="n"/>
    </row>
    <row r="66" ht="15.75" customHeight="1">
      <c r="C66" s="4" t="n"/>
    </row>
    <row r="67" ht="15.75" customHeight="1">
      <c r="C67" s="4" t="n"/>
    </row>
    <row r="68" ht="15.75" customHeight="1">
      <c r="C68" s="4" t="n"/>
    </row>
    <row r="69" ht="15.75" customHeight="1">
      <c r="C69" s="4" t="n"/>
    </row>
    <row r="70" ht="15.75" customHeight="1">
      <c r="C70" s="4" t="n"/>
    </row>
    <row r="71" ht="15.75" customHeight="1">
      <c r="C71" s="4" t="n"/>
    </row>
    <row r="72" ht="15.75" customHeight="1">
      <c r="C72" s="4" t="n"/>
    </row>
    <row r="73" ht="15.75" customHeight="1">
      <c r="C73" s="4" t="n"/>
    </row>
    <row r="74" ht="15.75" customHeight="1">
      <c r="C74" s="4" t="n"/>
    </row>
    <row r="75" ht="15.75" customHeight="1">
      <c r="C75" s="4" t="n"/>
    </row>
    <row r="76" ht="15.75" customHeight="1">
      <c r="C76" s="4" t="n"/>
    </row>
    <row r="77" ht="15.75" customHeight="1">
      <c r="C77" s="4" t="n"/>
    </row>
    <row r="78" ht="15.75" customHeight="1">
      <c r="C78" s="4" t="n"/>
    </row>
    <row r="79" ht="15.75" customHeight="1">
      <c r="C79" s="4" t="n"/>
    </row>
    <row r="80" ht="15.75" customHeight="1">
      <c r="C80" s="4" t="n"/>
    </row>
    <row r="81" ht="15.75" customHeight="1">
      <c r="C81" s="4" t="n"/>
    </row>
    <row r="82" ht="15.75" customHeight="1">
      <c r="C82" s="4" t="n"/>
    </row>
    <row r="83" ht="15.75" customHeight="1">
      <c r="C83" s="4" t="n"/>
    </row>
    <row r="84" ht="15.75" customHeight="1">
      <c r="C84" s="4" t="n"/>
    </row>
    <row r="85" ht="15.75" customHeight="1">
      <c r="C85" s="4" t="n"/>
    </row>
    <row r="86" ht="15.75" customHeight="1">
      <c r="C86" s="4" t="n"/>
    </row>
    <row r="87" ht="15.75" customHeight="1">
      <c r="C87" s="4" t="n"/>
    </row>
    <row r="88" ht="15.75" customHeight="1">
      <c r="C88" s="4" t="n"/>
    </row>
    <row r="89" ht="15.75" customHeight="1">
      <c r="C89" s="4" t="n"/>
    </row>
    <row r="90" ht="15.75" customHeight="1">
      <c r="C90" s="4" t="n"/>
    </row>
    <row r="91" ht="15.75" customHeight="1">
      <c r="C91" s="4" t="n"/>
    </row>
    <row r="92" ht="15.75" customHeight="1">
      <c r="C92" s="4" t="n"/>
    </row>
    <row r="93" ht="15.75" customHeight="1">
      <c r="C93" s="4" t="n"/>
    </row>
    <row r="94" ht="15.75" customHeight="1">
      <c r="C94" s="4" t="n"/>
    </row>
    <row r="95" ht="15.75" customHeight="1">
      <c r="C95" s="4" t="n"/>
    </row>
    <row r="96" ht="15.75" customHeight="1">
      <c r="C96" s="4" t="n"/>
    </row>
    <row r="97" ht="15.75" customHeight="1">
      <c r="C97" s="4" t="n"/>
    </row>
    <row r="98" ht="15.75" customHeight="1">
      <c r="C98" s="4" t="n"/>
    </row>
    <row r="99" ht="15.75" customHeight="1">
      <c r="C99" s="4" t="n"/>
    </row>
    <row r="100" ht="15.75" customHeight="1">
      <c r="C100" s="4" t="n"/>
    </row>
    <row r="101" ht="15.75" customHeight="1">
      <c r="C101" s="4" t="n"/>
    </row>
    <row r="102" ht="15.75" customHeight="1">
      <c r="C102" s="4" t="n"/>
    </row>
    <row r="103" ht="15.75" customHeight="1">
      <c r="C103" s="4" t="n"/>
    </row>
    <row r="104" ht="15.75" customHeight="1">
      <c r="C104" s="4" t="n"/>
    </row>
    <row r="105" ht="15.75" customHeight="1">
      <c r="C105" s="4" t="n"/>
    </row>
    <row r="106" ht="15.75" customHeight="1">
      <c r="C106" s="4" t="n"/>
    </row>
    <row r="107" ht="15.75" customHeight="1">
      <c r="C107" s="4" t="n"/>
    </row>
    <row r="108" ht="15.75" customHeight="1">
      <c r="C108" s="4" t="n"/>
    </row>
    <row r="109" ht="15.75" customHeight="1">
      <c r="C109" s="4" t="n"/>
    </row>
    <row r="110" ht="15.75" customHeight="1">
      <c r="C110" s="4" t="n"/>
    </row>
    <row r="111" ht="15.75" customHeight="1">
      <c r="C111" s="4" t="n"/>
    </row>
    <row r="112" ht="15.75" customHeight="1">
      <c r="C112" s="4" t="n"/>
    </row>
    <row r="113" ht="15.75" customHeight="1">
      <c r="C113" s="4" t="n"/>
    </row>
    <row r="114" ht="15.75" customHeight="1">
      <c r="C114" s="4" t="n"/>
    </row>
    <row r="115" ht="15.75" customHeight="1">
      <c r="C115" s="4" t="n"/>
    </row>
    <row r="116" ht="15.75" customHeight="1">
      <c r="C116" s="4" t="n"/>
    </row>
    <row r="117" ht="15.75" customHeight="1">
      <c r="C117" s="4" t="n"/>
    </row>
    <row r="118" ht="15.75" customHeight="1">
      <c r="C118" s="4" t="n"/>
    </row>
    <row r="119" ht="15.75" customHeight="1">
      <c r="C119" s="4" t="n"/>
    </row>
    <row r="120" ht="15.75" customHeight="1">
      <c r="C120" s="4" t="n"/>
    </row>
    <row r="121" ht="15.75" customHeight="1">
      <c r="C121" s="4" t="n"/>
    </row>
    <row r="122" ht="15.75" customHeight="1">
      <c r="C122" s="4" t="n"/>
    </row>
    <row r="123" ht="15.75" customHeight="1">
      <c r="C123" s="4" t="n"/>
    </row>
    <row r="124" ht="15.75" customHeight="1">
      <c r="C124" s="4" t="n"/>
    </row>
    <row r="125" ht="15.75" customHeight="1">
      <c r="C125" s="4" t="n"/>
    </row>
    <row r="126" ht="15.75" customHeight="1">
      <c r="C126" s="4" t="n"/>
    </row>
    <row r="127" ht="15.75" customHeight="1">
      <c r="C127" s="4" t="n"/>
    </row>
    <row r="128" ht="15.75" customHeight="1">
      <c r="C128" s="4" t="n"/>
    </row>
    <row r="129" ht="15.75" customHeight="1">
      <c r="C129" s="4" t="n"/>
    </row>
    <row r="130" ht="15.75" customHeight="1">
      <c r="C130" s="4" t="n"/>
    </row>
    <row r="131" ht="15.75" customHeight="1">
      <c r="C131" s="4" t="n"/>
    </row>
    <row r="132" ht="15.75" customHeight="1">
      <c r="C132" s="4" t="n"/>
    </row>
    <row r="133" ht="15.75" customHeight="1">
      <c r="C133" s="4" t="n"/>
    </row>
    <row r="134" ht="15.75" customHeight="1">
      <c r="C134" s="4" t="n"/>
    </row>
    <row r="135" ht="15.75" customHeight="1">
      <c r="C135" s="4" t="n"/>
    </row>
    <row r="136" ht="15.75" customHeight="1">
      <c r="C136" s="4" t="n"/>
    </row>
    <row r="137" ht="15.75" customHeight="1">
      <c r="C137" s="4" t="n"/>
    </row>
    <row r="138" ht="15.75" customHeight="1">
      <c r="C138" s="4" t="n"/>
    </row>
    <row r="139" ht="15.75" customHeight="1">
      <c r="C139" s="4" t="n"/>
    </row>
    <row r="140" ht="15.75" customHeight="1">
      <c r="C140" s="4" t="n"/>
    </row>
    <row r="141" ht="15.75" customHeight="1">
      <c r="C141" s="4" t="n"/>
    </row>
    <row r="142" ht="15.75" customHeight="1">
      <c r="C142" s="4" t="n"/>
    </row>
    <row r="143" ht="15.75" customHeight="1">
      <c r="C143" s="4" t="n"/>
    </row>
    <row r="144" ht="15.75" customHeight="1">
      <c r="C144" s="4" t="n"/>
    </row>
    <row r="145" ht="15.75" customHeight="1">
      <c r="C145" s="4" t="n"/>
    </row>
    <row r="146" ht="15.75" customHeight="1">
      <c r="C146" s="4" t="n"/>
    </row>
    <row r="147" ht="15.75" customHeight="1">
      <c r="C147" s="4" t="n"/>
    </row>
    <row r="148" ht="15.75" customHeight="1">
      <c r="C148" s="4" t="n"/>
    </row>
    <row r="149" ht="15.75" customHeight="1">
      <c r="C149" s="4" t="n"/>
    </row>
    <row r="150" ht="15.75" customHeight="1">
      <c r="C150" s="4" t="n"/>
    </row>
    <row r="151" ht="15.75" customHeight="1">
      <c r="C151" s="4" t="n"/>
    </row>
    <row r="152" ht="15.75" customHeight="1">
      <c r="C152" s="4" t="n"/>
    </row>
    <row r="153" ht="15.75" customHeight="1">
      <c r="C153" s="4" t="n"/>
    </row>
    <row r="154" ht="15.75" customHeight="1">
      <c r="C154" s="4" t="n"/>
    </row>
    <row r="155" ht="15.75" customHeight="1">
      <c r="C155" s="4" t="n"/>
    </row>
    <row r="156" ht="15.75" customHeight="1">
      <c r="C156" s="4" t="n"/>
    </row>
    <row r="157" ht="15.75" customHeight="1">
      <c r="C157" s="4" t="n"/>
    </row>
    <row r="158" ht="15.75" customHeight="1">
      <c r="C158" s="4" t="n"/>
    </row>
    <row r="159" ht="15.75" customHeight="1">
      <c r="C159" s="4" t="n"/>
    </row>
    <row r="160" ht="15.75" customHeight="1">
      <c r="C160" s="4" t="n"/>
    </row>
    <row r="161" ht="15.75" customHeight="1">
      <c r="C161" s="4" t="n"/>
    </row>
    <row r="162" ht="15.75" customHeight="1">
      <c r="C162" s="4" t="n"/>
    </row>
    <row r="163" ht="15.75" customHeight="1">
      <c r="C163" s="4" t="n"/>
    </row>
    <row r="164" ht="15.75" customHeight="1">
      <c r="C164" s="4" t="n"/>
    </row>
    <row r="165" ht="15.75" customHeight="1">
      <c r="C165" s="4" t="n"/>
    </row>
    <row r="166" ht="15.75" customHeight="1">
      <c r="C166" s="4" t="n"/>
    </row>
    <row r="167" ht="15.75" customHeight="1">
      <c r="C167" s="4" t="n"/>
    </row>
    <row r="168" ht="15.75" customHeight="1">
      <c r="C168" s="4" t="n"/>
    </row>
    <row r="169" ht="15.75" customHeight="1">
      <c r="C169" s="4" t="n"/>
    </row>
    <row r="170" ht="15.75" customHeight="1">
      <c r="C170" s="4" t="n"/>
    </row>
    <row r="171" ht="15.75" customHeight="1">
      <c r="C171" s="4" t="n"/>
    </row>
    <row r="172" ht="15.75" customHeight="1">
      <c r="C172" s="4" t="n"/>
    </row>
    <row r="173" ht="15.75" customHeight="1">
      <c r="C173" s="4" t="n"/>
    </row>
    <row r="174" ht="15.75" customHeight="1">
      <c r="C174" s="4" t="n"/>
    </row>
    <row r="175" ht="15.75" customHeight="1">
      <c r="C175" s="4" t="n"/>
    </row>
    <row r="176" ht="15.75" customHeight="1">
      <c r="C176" s="4" t="n"/>
    </row>
    <row r="177" ht="15.75" customHeight="1">
      <c r="C177" s="4" t="n"/>
    </row>
    <row r="178" ht="15.75" customHeight="1">
      <c r="C178" s="4" t="n"/>
    </row>
    <row r="179" ht="15.75" customHeight="1">
      <c r="C179" s="4" t="n"/>
    </row>
    <row r="180" ht="15.75" customHeight="1">
      <c r="C180" s="4" t="n"/>
    </row>
    <row r="181" ht="15.75" customHeight="1">
      <c r="C181" s="4" t="n"/>
    </row>
    <row r="182" ht="15.75" customHeight="1">
      <c r="C182" s="4" t="n"/>
    </row>
    <row r="183" ht="15.75" customHeight="1">
      <c r="C183" s="4" t="n"/>
    </row>
    <row r="184" ht="15.75" customHeight="1">
      <c r="C184" s="4" t="n"/>
    </row>
    <row r="185" ht="15.75" customHeight="1">
      <c r="C185" s="4" t="n"/>
    </row>
    <row r="186" ht="15.75" customHeight="1">
      <c r="C186" s="4" t="n"/>
    </row>
    <row r="187" ht="15.75" customHeight="1">
      <c r="C187" s="4" t="n"/>
    </row>
    <row r="188" ht="15.75" customHeight="1">
      <c r="C188" s="4" t="n"/>
    </row>
    <row r="189" ht="15.75" customHeight="1">
      <c r="C189" s="4" t="n"/>
    </row>
    <row r="190" ht="15.75" customHeight="1">
      <c r="C190" s="4" t="n"/>
    </row>
    <row r="191" ht="15.75" customHeight="1">
      <c r="C191" s="4" t="n"/>
    </row>
    <row r="192" ht="15.75" customHeight="1">
      <c r="C192" s="4" t="n"/>
    </row>
    <row r="193" ht="15.75" customHeight="1">
      <c r="C193" s="4" t="n"/>
    </row>
    <row r="194" ht="15.75" customHeight="1">
      <c r="C194" s="4" t="n"/>
    </row>
    <row r="195" ht="15.75" customHeight="1">
      <c r="C195" s="4" t="n"/>
    </row>
    <row r="196" ht="15.75" customHeight="1">
      <c r="C196" s="4" t="n"/>
    </row>
    <row r="197" ht="15.75" customHeight="1">
      <c r="C197" s="4" t="n"/>
    </row>
    <row r="198" ht="15.75" customHeight="1">
      <c r="C198" s="4" t="n"/>
    </row>
    <row r="199" ht="15.75" customHeight="1">
      <c r="C199" s="4" t="n"/>
    </row>
    <row r="200" ht="15.75" customHeight="1">
      <c r="C200" s="4" t="n"/>
    </row>
    <row r="201" ht="15.75" customHeight="1">
      <c r="C201" s="4" t="n"/>
    </row>
    <row r="202" ht="15.75" customHeight="1">
      <c r="C202" s="4" t="n"/>
    </row>
    <row r="203" ht="15.75" customHeight="1">
      <c r="C203" s="4" t="n"/>
    </row>
    <row r="204" ht="15.75" customHeight="1">
      <c r="C204" s="4" t="n"/>
    </row>
    <row r="205" ht="15.75" customHeight="1">
      <c r="C205" s="4" t="n"/>
    </row>
    <row r="206" ht="15.75" customHeight="1">
      <c r="C206" s="4" t="n"/>
    </row>
    <row r="207" ht="15.75" customHeight="1">
      <c r="C207" s="4" t="n"/>
    </row>
    <row r="208" ht="15.75" customHeight="1">
      <c r="C208" s="4" t="n"/>
    </row>
    <row r="209" ht="15.75" customHeight="1">
      <c r="C209" s="4" t="n"/>
    </row>
    <row r="210" ht="15.75" customHeight="1">
      <c r="C210" s="4" t="n"/>
    </row>
    <row r="211" ht="15.75" customHeight="1">
      <c r="C211" s="4" t="n"/>
    </row>
    <row r="212" ht="15.75" customHeight="1">
      <c r="C212" s="4" t="n"/>
    </row>
    <row r="213" ht="15.75" customHeight="1">
      <c r="C213" s="4" t="n"/>
    </row>
    <row r="214" ht="15.75" customHeight="1">
      <c r="C214" s="4" t="n"/>
    </row>
    <row r="215" ht="15.75" customHeight="1">
      <c r="C215" s="4" t="n"/>
    </row>
    <row r="216" ht="15.75" customHeight="1">
      <c r="C216" s="4" t="n"/>
    </row>
    <row r="217" ht="15.75" customHeight="1">
      <c r="C217" s="4" t="n"/>
    </row>
    <row r="218" ht="15.75" customHeight="1">
      <c r="C218" s="4" t="n"/>
    </row>
    <row r="219" ht="15.75" customHeight="1">
      <c r="C219" s="4" t="n"/>
    </row>
    <row r="220" ht="15.75" customHeight="1">
      <c r="C220" s="4" t="n"/>
    </row>
    <row r="221" ht="15.75" customHeight="1">
      <c r="C221" s="4" t="n"/>
    </row>
    <row r="222" ht="15.75" customHeight="1">
      <c r="C222" s="4" t="n"/>
    </row>
    <row r="223" ht="15.75" customHeight="1">
      <c r="C223" s="4" t="n"/>
    </row>
    <row r="224" ht="15.75" customHeight="1">
      <c r="C224" s="4" t="n"/>
    </row>
    <row r="225" ht="15.75" customHeight="1">
      <c r="C225" s="4" t="n"/>
    </row>
    <row r="226" ht="15.75" customHeight="1">
      <c r="C226" s="4" t="n"/>
    </row>
    <row r="227" ht="15.75" customHeight="1">
      <c r="C227" s="4" t="n"/>
    </row>
    <row r="228" ht="15.75" customHeight="1">
      <c r="C228" s="4" t="n"/>
    </row>
    <row r="229" ht="15.75" customHeight="1">
      <c r="C229" s="4" t="n"/>
    </row>
    <row r="230" ht="15.75" customHeight="1">
      <c r="C230" s="4" t="n"/>
    </row>
    <row r="231" ht="15.75" customHeight="1">
      <c r="C231" s="4" t="n"/>
    </row>
    <row r="232" ht="15.75" customHeight="1">
      <c r="C232" s="4" t="n"/>
    </row>
    <row r="233" ht="15.75" customHeight="1">
      <c r="C233" s="4" t="n"/>
    </row>
    <row r="234" ht="15.75" customHeight="1">
      <c r="C234" s="4" t="n"/>
    </row>
    <row r="235" ht="15.75" customHeight="1">
      <c r="C235" s="4" t="n"/>
    </row>
    <row r="236" ht="15.75" customHeight="1">
      <c r="C236" s="4" t="n"/>
    </row>
    <row r="237" ht="15.75" customHeight="1">
      <c r="C237" s="4" t="n"/>
    </row>
    <row r="238" ht="15.75" customHeight="1">
      <c r="C238" s="4" t="n"/>
    </row>
    <row r="239" ht="15.75" customHeight="1">
      <c r="C239" s="4" t="n"/>
    </row>
    <row r="240" ht="15.75" customHeight="1">
      <c r="C240" s="4" t="n"/>
    </row>
    <row r="241" ht="15.75" customHeight="1">
      <c r="C241" s="4" t="n"/>
    </row>
    <row r="242" ht="15.75" customHeight="1">
      <c r="C242" s="4" t="n"/>
    </row>
    <row r="243" ht="15.75" customHeight="1">
      <c r="C243" s="4" t="n"/>
    </row>
    <row r="244" ht="15.75" customHeight="1">
      <c r="C244" s="4" t="n"/>
    </row>
    <row r="245" ht="15.75" customHeight="1">
      <c r="C245" s="4" t="n"/>
    </row>
    <row r="246" ht="15.75" customHeight="1">
      <c r="C246" s="4" t="n"/>
    </row>
    <row r="247" ht="15.75" customHeight="1">
      <c r="C247" s="4" t="n"/>
    </row>
    <row r="248" ht="15.75" customHeight="1">
      <c r="C248" s="4" t="n"/>
    </row>
    <row r="249" ht="15.75" customHeight="1">
      <c r="C249" s="4" t="n"/>
    </row>
    <row r="250" ht="15.75" customHeight="1">
      <c r="C250" s="4" t="n"/>
    </row>
    <row r="251" ht="15.75" customHeight="1">
      <c r="C251" s="4" t="n"/>
    </row>
    <row r="252" ht="15.75" customHeight="1">
      <c r="C252" s="4" t="n"/>
    </row>
    <row r="253" ht="15.75" customHeight="1">
      <c r="C253" s="4" t="n"/>
    </row>
    <row r="254" ht="15.75" customHeight="1">
      <c r="C254" s="4" t="n"/>
    </row>
    <row r="255" ht="15.75" customHeight="1">
      <c r="C255" s="4" t="n"/>
    </row>
    <row r="256" ht="15.75" customHeight="1">
      <c r="C256" s="4" t="n"/>
    </row>
    <row r="257" ht="15.75" customHeight="1">
      <c r="C257" s="4" t="n"/>
    </row>
    <row r="258" ht="15.75" customHeight="1">
      <c r="C258" s="4" t="n"/>
    </row>
    <row r="259" ht="15.75" customHeight="1">
      <c r="C259" s="4" t="n"/>
    </row>
    <row r="260" ht="15.75" customHeight="1">
      <c r="C260" s="4" t="n"/>
    </row>
    <row r="261" ht="15.75" customHeight="1">
      <c r="C261" s="4" t="n"/>
    </row>
    <row r="262" ht="15.75" customHeight="1">
      <c r="C262" s="4" t="n"/>
    </row>
    <row r="263" ht="15.75" customHeight="1">
      <c r="C263" s="4" t="n"/>
    </row>
    <row r="264" ht="15.75" customHeight="1">
      <c r="C264" s="4" t="n"/>
    </row>
    <row r="265" ht="15.75" customHeight="1">
      <c r="C265" s="4" t="n"/>
    </row>
    <row r="266" ht="15.75" customHeight="1">
      <c r="C266" s="4" t="n"/>
    </row>
    <row r="267" ht="15.75" customHeight="1">
      <c r="C267" s="4" t="n"/>
    </row>
    <row r="268" ht="15.75" customHeight="1">
      <c r="C268" s="4" t="n"/>
    </row>
    <row r="269" ht="15.75" customHeight="1">
      <c r="C269" s="4" t="n"/>
    </row>
    <row r="270" ht="15.75" customHeight="1">
      <c r="C270" s="4" t="n"/>
    </row>
    <row r="271" ht="15.75" customHeight="1">
      <c r="C271" s="4" t="n"/>
    </row>
    <row r="272" ht="15.75" customHeight="1">
      <c r="C272" s="4" t="n"/>
    </row>
    <row r="273" ht="15.75" customHeight="1">
      <c r="C273" s="4" t="n"/>
    </row>
    <row r="274" ht="15.75" customHeight="1">
      <c r="C274" s="4" t="n"/>
    </row>
    <row r="275" ht="15.75" customHeight="1">
      <c r="C275" s="4" t="n"/>
    </row>
    <row r="276" ht="15.75" customHeight="1">
      <c r="C276" s="4" t="n"/>
    </row>
    <row r="277" ht="15.75" customHeight="1">
      <c r="C277" s="4" t="n"/>
    </row>
    <row r="278" ht="15.75" customHeight="1">
      <c r="C278" s="4" t="n"/>
    </row>
    <row r="279" ht="15.75" customHeight="1">
      <c r="C279" s="4" t="n"/>
    </row>
    <row r="280" ht="15.75" customHeight="1">
      <c r="C280" s="4" t="n"/>
    </row>
    <row r="281" ht="15.75" customHeight="1">
      <c r="C281" s="4" t="n"/>
    </row>
    <row r="282" ht="15.75" customHeight="1">
      <c r="C282" s="4" t="n"/>
    </row>
    <row r="283" ht="15.75" customHeight="1">
      <c r="C283" s="4" t="n"/>
    </row>
    <row r="284" ht="15.75" customHeight="1">
      <c r="C284" s="4" t="n"/>
    </row>
    <row r="285" ht="15.75" customHeight="1">
      <c r="C285" s="4" t="n"/>
    </row>
    <row r="286" ht="15.75" customHeight="1">
      <c r="C286" s="4" t="n"/>
    </row>
    <row r="287" ht="15.75" customHeight="1">
      <c r="C287" s="4" t="n"/>
    </row>
    <row r="288" ht="15.75" customHeight="1">
      <c r="C288" s="4" t="n"/>
    </row>
    <row r="289" ht="15.75" customHeight="1">
      <c r="C289" s="4" t="n"/>
    </row>
    <row r="290" ht="15.75" customHeight="1">
      <c r="C290" s="4" t="n"/>
    </row>
    <row r="291" ht="15.75" customHeight="1">
      <c r="C291" s="4" t="n"/>
    </row>
    <row r="292" ht="15.75" customHeight="1">
      <c r="C292" s="4" t="n"/>
    </row>
    <row r="293" ht="15.75" customHeight="1">
      <c r="C293" s="4" t="n"/>
    </row>
    <row r="294" ht="15.75" customHeight="1">
      <c r="C294" s="4" t="n"/>
    </row>
    <row r="295" ht="15.75" customHeight="1">
      <c r="C295" s="4" t="n"/>
    </row>
    <row r="296" ht="15.75" customHeight="1">
      <c r="C296" s="4" t="n"/>
    </row>
    <row r="297" ht="15.75" customHeight="1">
      <c r="C297" s="4" t="n"/>
    </row>
    <row r="298" ht="15.75" customHeight="1">
      <c r="C298" s="4" t="n"/>
    </row>
    <row r="299" ht="15.75" customHeight="1">
      <c r="C299" s="4" t="n"/>
    </row>
    <row r="300" ht="15.75" customHeight="1">
      <c r="C300" s="4" t="n"/>
    </row>
    <row r="301" ht="15.75" customHeight="1">
      <c r="C301" s="4" t="n"/>
    </row>
    <row r="302" ht="15.75" customHeight="1">
      <c r="C302" s="4" t="n"/>
    </row>
    <row r="303" ht="15.75" customHeight="1">
      <c r="C303" s="4" t="n"/>
    </row>
    <row r="304" ht="15.75" customHeight="1">
      <c r="C304" s="4" t="n"/>
    </row>
    <row r="305" ht="15.75" customHeight="1">
      <c r="C305" s="4" t="n"/>
    </row>
    <row r="306" ht="15.75" customHeight="1">
      <c r="C306" s="4" t="n"/>
    </row>
    <row r="307" ht="15.75" customHeight="1">
      <c r="C307" s="4" t="n"/>
    </row>
    <row r="308" ht="15.75" customHeight="1">
      <c r="C308" s="4" t="n"/>
    </row>
    <row r="309" ht="15.75" customHeight="1">
      <c r="C309" s="4" t="n"/>
    </row>
    <row r="310" ht="15.75" customHeight="1">
      <c r="C310" s="4" t="n"/>
    </row>
    <row r="311" ht="15.75" customHeight="1">
      <c r="C311" s="4" t="n"/>
    </row>
    <row r="312" ht="15.75" customHeight="1">
      <c r="C312" s="4" t="n"/>
    </row>
    <row r="313" ht="15.75" customHeight="1">
      <c r="C313" s="4" t="n"/>
    </row>
    <row r="314" ht="15.75" customHeight="1">
      <c r="C314" s="4" t="n"/>
    </row>
    <row r="315" ht="15.75" customHeight="1">
      <c r="C315" s="4" t="n"/>
    </row>
    <row r="316" ht="15.75" customHeight="1">
      <c r="C316" s="4" t="n"/>
    </row>
    <row r="317" ht="15.75" customHeight="1">
      <c r="C317" s="4" t="n"/>
    </row>
    <row r="318" ht="15.75" customHeight="1">
      <c r="C318" s="4" t="n"/>
    </row>
    <row r="319" ht="15.75" customHeight="1">
      <c r="C319" s="4" t="n"/>
    </row>
    <row r="320" ht="15.75" customHeight="1">
      <c r="C320" s="4" t="n"/>
    </row>
    <row r="321" ht="15.75" customHeight="1">
      <c r="C321" s="4" t="n"/>
    </row>
    <row r="322" ht="15.75" customHeight="1">
      <c r="C322" s="4" t="n"/>
    </row>
    <row r="323" ht="15.75" customHeight="1">
      <c r="C323" s="4" t="n"/>
    </row>
    <row r="324" ht="15.75" customHeight="1">
      <c r="C324" s="4" t="n"/>
    </row>
    <row r="325" ht="15.75" customHeight="1">
      <c r="C325" s="4" t="n"/>
    </row>
    <row r="326" ht="15.75" customHeight="1">
      <c r="C326" s="4" t="n"/>
    </row>
    <row r="327" ht="15.75" customHeight="1">
      <c r="C327" s="4" t="n"/>
    </row>
    <row r="328" ht="15.75" customHeight="1">
      <c r="C328" s="4" t="n"/>
    </row>
    <row r="329" ht="15.75" customHeight="1">
      <c r="C329" s="4" t="n"/>
    </row>
    <row r="330" ht="15.75" customHeight="1">
      <c r="C330" s="4" t="n"/>
    </row>
    <row r="331" ht="15.75" customHeight="1">
      <c r="C331" s="4" t="n"/>
    </row>
    <row r="332" ht="15.75" customHeight="1">
      <c r="C332" s="4" t="n"/>
    </row>
    <row r="333" ht="15.75" customHeight="1">
      <c r="C333" s="4" t="n"/>
    </row>
    <row r="334" ht="15.75" customHeight="1">
      <c r="C334" s="4" t="n"/>
    </row>
    <row r="335" ht="15.75" customHeight="1">
      <c r="C335" s="4" t="n"/>
    </row>
    <row r="336" ht="15.75" customHeight="1">
      <c r="C336" s="4" t="n"/>
    </row>
    <row r="337" ht="15.75" customHeight="1">
      <c r="C337" s="4" t="n"/>
    </row>
    <row r="338" ht="15.75" customHeight="1">
      <c r="C338" s="4" t="n"/>
    </row>
    <row r="339" ht="15.75" customHeight="1">
      <c r="C339" s="4" t="n"/>
    </row>
    <row r="340" ht="15.75" customHeight="1">
      <c r="C340" s="4" t="n"/>
    </row>
    <row r="341" ht="15.75" customHeight="1">
      <c r="C341" s="4" t="n"/>
    </row>
    <row r="342" ht="15.75" customHeight="1">
      <c r="C342" s="4" t="n"/>
    </row>
    <row r="343" ht="15.75" customHeight="1">
      <c r="C343" s="4" t="n"/>
    </row>
    <row r="344" ht="15.75" customHeight="1">
      <c r="C344" s="4" t="n"/>
    </row>
    <row r="345" ht="15.75" customHeight="1">
      <c r="C345" s="4" t="n"/>
    </row>
    <row r="346" ht="15.75" customHeight="1">
      <c r="C346" s="4" t="n"/>
    </row>
    <row r="347" ht="15.75" customHeight="1">
      <c r="C347" s="4" t="n"/>
    </row>
    <row r="348" ht="15.75" customHeight="1">
      <c r="C348" s="4" t="n"/>
    </row>
    <row r="349" ht="15.75" customHeight="1">
      <c r="C349" s="4" t="n"/>
    </row>
    <row r="350" ht="15.75" customHeight="1">
      <c r="C350" s="4" t="n"/>
    </row>
    <row r="351" ht="15.75" customHeight="1">
      <c r="C351" s="4" t="n"/>
    </row>
    <row r="352" ht="15.75" customHeight="1">
      <c r="C352" s="4" t="n"/>
    </row>
    <row r="353" ht="15.75" customHeight="1">
      <c r="C353" s="4" t="n"/>
    </row>
    <row r="354" ht="15.75" customHeight="1">
      <c r="C354" s="4" t="n"/>
    </row>
    <row r="355" ht="15.75" customHeight="1">
      <c r="C355" s="4" t="n"/>
    </row>
    <row r="356" ht="15.75" customHeight="1">
      <c r="C356" s="4" t="n"/>
    </row>
    <row r="357" ht="15.75" customHeight="1">
      <c r="C357" s="4" t="n"/>
    </row>
    <row r="358" ht="15.75" customHeight="1">
      <c r="C358" s="4" t="n"/>
    </row>
    <row r="359" ht="15.75" customHeight="1">
      <c r="C359" s="4" t="n"/>
    </row>
    <row r="360" ht="15.75" customHeight="1">
      <c r="C360" s="4" t="n"/>
    </row>
    <row r="361" ht="15.75" customHeight="1">
      <c r="C361" s="4" t="n"/>
    </row>
    <row r="362" ht="15.75" customHeight="1">
      <c r="C362" s="4" t="n"/>
    </row>
    <row r="363" ht="15.75" customHeight="1">
      <c r="C363" s="4" t="n"/>
    </row>
    <row r="364" ht="15.75" customHeight="1">
      <c r="C364" s="4" t="n"/>
    </row>
    <row r="365" ht="15.75" customHeight="1">
      <c r="C365" s="4" t="n"/>
    </row>
    <row r="366" ht="15.75" customHeight="1">
      <c r="C366" s="4" t="n"/>
    </row>
    <row r="367" ht="15.75" customHeight="1">
      <c r="C367" s="4" t="n"/>
    </row>
    <row r="368" ht="15.75" customHeight="1">
      <c r="C368" s="4" t="n"/>
    </row>
    <row r="369" ht="15.75" customHeight="1">
      <c r="C369" s="4" t="n"/>
    </row>
    <row r="370" ht="15.75" customHeight="1">
      <c r="C370" s="4" t="n"/>
    </row>
    <row r="371" ht="15.75" customHeight="1">
      <c r="C371" s="4" t="n"/>
    </row>
    <row r="372" ht="15.75" customHeight="1">
      <c r="C372" s="4" t="n"/>
    </row>
    <row r="373" ht="15.75" customHeight="1">
      <c r="C373" s="4" t="n"/>
    </row>
    <row r="374" ht="15.75" customHeight="1">
      <c r="C374" s="4" t="n"/>
    </row>
    <row r="375" ht="15.75" customHeight="1">
      <c r="C375" s="4" t="n"/>
    </row>
    <row r="376" ht="15.75" customHeight="1">
      <c r="C376" s="4" t="n"/>
    </row>
    <row r="377" ht="15.75" customHeight="1">
      <c r="C377" s="4" t="n"/>
    </row>
    <row r="378" ht="15.75" customHeight="1">
      <c r="C378" s="4" t="n"/>
    </row>
    <row r="379" ht="15.75" customHeight="1">
      <c r="C379" s="4" t="n"/>
    </row>
    <row r="380" ht="15.75" customHeight="1">
      <c r="C380" s="4" t="n"/>
    </row>
    <row r="381" ht="15.75" customHeight="1">
      <c r="C381" s="4" t="n"/>
    </row>
    <row r="382" ht="15.75" customHeight="1">
      <c r="C382" s="4" t="n"/>
    </row>
    <row r="383" ht="15.75" customHeight="1">
      <c r="C383" s="4" t="n"/>
    </row>
    <row r="384" ht="15.75" customHeight="1">
      <c r="C384" s="4" t="n"/>
    </row>
    <row r="385" ht="15.75" customHeight="1">
      <c r="C385" s="4" t="n"/>
    </row>
    <row r="386" ht="15.75" customHeight="1">
      <c r="C386" s="4" t="n"/>
    </row>
    <row r="387" ht="15.75" customHeight="1">
      <c r="C387" s="4" t="n"/>
    </row>
    <row r="388" ht="15.75" customHeight="1">
      <c r="C388" s="4" t="n"/>
    </row>
    <row r="389" ht="15.75" customHeight="1">
      <c r="C389" s="4" t="n"/>
    </row>
    <row r="390" ht="15.75" customHeight="1">
      <c r="C390" s="4" t="n"/>
    </row>
    <row r="391" ht="15.75" customHeight="1">
      <c r="C391" s="4" t="n"/>
    </row>
    <row r="392" ht="15.75" customHeight="1">
      <c r="C392" s="4" t="n"/>
    </row>
    <row r="393" ht="15.75" customHeight="1">
      <c r="C393" s="4" t="n"/>
    </row>
    <row r="394" ht="15.75" customHeight="1">
      <c r="C394" s="4" t="n"/>
    </row>
    <row r="395" ht="15.75" customHeight="1">
      <c r="C395" s="4" t="n"/>
    </row>
    <row r="396" ht="15.75" customHeight="1">
      <c r="C396" s="4" t="n"/>
    </row>
    <row r="397" ht="15.75" customHeight="1">
      <c r="C397" s="4" t="n"/>
    </row>
    <row r="398" ht="15.75" customHeight="1">
      <c r="C398" s="4" t="n"/>
    </row>
    <row r="399" ht="15.75" customHeight="1">
      <c r="C399" s="4" t="n"/>
    </row>
    <row r="400" ht="15.75" customHeight="1">
      <c r="C400" s="4" t="n"/>
    </row>
    <row r="401" ht="15.75" customHeight="1">
      <c r="C401" s="4" t="n"/>
    </row>
    <row r="402" ht="15.75" customHeight="1">
      <c r="C402" s="4" t="n"/>
    </row>
    <row r="403" ht="15.75" customHeight="1">
      <c r="C403" s="4" t="n"/>
    </row>
    <row r="404" ht="15.75" customHeight="1">
      <c r="C404" s="4" t="n"/>
    </row>
    <row r="405" ht="15.75" customHeight="1">
      <c r="C405" s="4" t="n"/>
    </row>
    <row r="406" ht="15.75" customHeight="1">
      <c r="C406" s="4" t="n"/>
    </row>
    <row r="407" ht="15.75" customHeight="1">
      <c r="C407" s="4" t="n"/>
    </row>
    <row r="408" ht="15.75" customHeight="1">
      <c r="C408" s="4" t="n"/>
    </row>
    <row r="409" ht="15.75" customHeight="1">
      <c r="C409" s="4" t="n"/>
    </row>
    <row r="410" ht="15.75" customHeight="1">
      <c r="C410" s="4" t="n"/>
    </row>
    <row r="411" ht="15.75" customHeight="1">
      <c r="C411" s="4" t="n"/>
    </row>
    <row r="412" ht="15.75" customHeight="1">
      <c r="C412" s="4" t="n"/>
    </row>
    <row r="413" ht="15.75" customHeight="1">
      <c r="C413" s="4" t="n"/>
    </row>
    <row r="414" ht="15.75" customHeight="1">
      <c r="C414" s="4" t="n"/>
    </row>
    <row r="415" ht="15.75" customHeight="1">
      <c r="C415" s="4" t="n"/>
    </row>
    <row r="416" ht="15.75" customHeight="1">
      <c r="C416" s="4" t="n"/>
    </row>
    <row r="417" ht="15.75" customHeight="1">
      <c r="C417" s="4" t="n"/>
    </row>
    <row r="418" ht="15.75" customHeight="1">
      <c r="C418" s="4" t="n"/>
    </row>
    <row r="419" ht="15.75" customHeight="1">
      <c r="C419" s="4" t="n"/>
    </row>
    <row r="420" ht="15.75" customHeight="1">
      <c r="C420" s="4" t="n"/>
    </row>
    <row r="421" ht="15.75" customHeight="1">
      <c r="C421" s="4" t="n"/>
    </row>
    <row r="422" ht="15.75" customHeight="1">
      <c r="C422" s="4" t="n"/>
    </row>
    <row r="423" ht="15.75" customHeight="1">
      <c r="C423" s="4" t="n"/>
    </row>
    <row r="424" ht="15.75" customHeight="1">
      <c r="C424" s="4" t="n"/>
    </row>
    <row r="425" ht="15.75" customHeight="1">
      <c r="C425" s="4" t="n"/>
    </row>
    <row r="426" ht="15.75" customHeight="1">
      <c r="C426" s="4" t="n"/>
    </row>
    <row r="427" ht="15.75" customHeight="1">
      <c r="C427" s="4" t="n"/>
    </row>
    <row r="428" ht="15.75" customHeight="1">
      <c r="C428" s="4" t="n"/>
    </row>
    <row r="429" ht="15.75" customHeight="1">
      <c r="C429" s="4" t="n"/>
    </row>
    <row r="430" ht="15.75" customHeight="1">
      <c r="C430" s="4" t="n"/>
    </row>
    <row r="431" ht="15.75" customHeight="1">
      <c r="C431" s="4" t="n"/>
    </row>
    <row r="432" ht="15.75" customHeight="1">
      <c r="C432" s="4" t="n"/>
    </row>
    <row r="433" ht="15.75" customHeight="1">
      <c r="C433" s="4" t="n"/>
    </row>
    <row r="434" ht="15.75" customHeight="1">
      <c r="C434" s="4" t="n"/>
    </row>
    <row r="435" ht="15.75" customHeight="1">
      <c r="C435" s="4" t="n"/>
    </row>
    <row r="436" ht="15.75" customHeight="1">
      <c r="C436" s="4" t="n"/>
    </row>
    <row r="437" ht="15.75" customHeight="1">
      <c r="C437" s="4" t="n"/>
    </row>
    <row r="438" ht="15.75" customHeight="1">
      <c r="C438" s="4" t="n"/>
    </row>
    <row r="439" ht="15.75" customHeight="1">
      <c r="C439" s="4" t="n"/>
    </row>
    <row r="440" ht="15.75" customHeight="1">
      <c r="C440" s="4" t="n"/>
    </row>
    <row r="441" ht="15.75" customHeight="1">
      <c r="C441" s="4" t="n"/>
    </row>
    <row r="442" ht="15.75" customHeight="1">
      <c r="C442" s="4" t="n"/>
    </row>
    <row r="443" ht="15.75" customHeight="1">
      <c r="C443" s="4" t="n"/>
    </row>
    <row r="444" ht="15.75" customHeight="1">
      <c r="C444" s="4" t="n"/>
    </row>
    <row r="445" ht="15.75" customHeight="1">
      <c r="C445" s="4" t="n"/>
    </row>
    <row r="446" ht="15.75" customHeight="1">
      <c r="C446" s="4" t="n"/>
    </row>
    <row r="447" ht="15.75" customHeight="1">
      <c r="C447" s="4" t="n"/>
    </row>
    <row r="448" ht="15.75" customHeight="1">
      <c r="C448" s="4" t="n"/>
    </row>
    <row r="449" ht="15.75" customHeight="1">
      <c r="C449" s="4" t="n"/>
    </row>
    <row r="450" ht="15.75" customHeight="1">
      <c r="C450" s="4" t="n"/>
    </row>
    <row r="451" ht="15.75" customHeight="1">
      <c r="C451" s="4" t="n"/>
    </row>
    <row r="452" ht="15.75" customHeight="1">
      <c r="C452" s="4" t="n"/>
    </row>
    <row r="453" ht="15.75" customHeight="1">
      <c r="C453" s="4" t="n"/>
    </row>
    <row r="454" ht="15.75" customHeight="1">
      <c r="C454" s="4" t="n"/>
    </row>
    <row r="455" ht="15.75" customHeight="1">
      <c r="C455" s="4" t="n"/>
    </row>
    <row r="456" ht="15.75" customHeight="1">
      <c r="C456" s="4" t="n"/>
    </row>
    <row r="457" ht="15.75" customHeight="1">
      <c r="C457" s="4" t="n"/>
    </row>
    <row r="458" ht="15.75" customHeight="1">
      <c r="C458" s="4" t="n"/>
    </row>
    <row r="459" ht="15.75" customHeight="1">
      <c r="C459" s="4" t="n"/>
    </row>
    <row r="460" ht="15.75" customHeight="1">
      <c r="C460" s="4" t="n"/>
    </row>
    <row r="461" ht="15.75" customHeight="1">
      <c r="C461" s="4" t="n"/>
    </row>
    <row r="462" ht="15.75" customHeight="1">
      <c r="C462" s="4" t="n"/>
    </row>
    <row r="463" ht="15.75" customHeight="1">
      <c r="C463" s="4" t="n"/>
    </row>
    <row r="464" ht="15.75" customHeight="1">
      <c r="C464" s="4" t="n"/>
    </row>
    <row r="465" ht="15.75" customHeight="1">
      <c r="C465" s="4" t="n"/>
    </row>
    <row r="466" ht="15.75" customHeight="1">
      <c r="C466" s="4" t="n"/>
    </row>
    <row r="467" ht="15.75" customHeight="1">
      <c r="C467" s="4" t="n"/>
    </row>
    <row r="468" ht="15.75" customHeight="1">
      <c r="C468" s="4" t="n"/>
    </row>
    <row r="469" ht="15.75" customHeight="1">
      <c r="C469" s="4" t="n"/>
    </row>
    <row r="470" ht="15.75" customHeight="1">
      <c r="C470" s="4" t="n"/>
    </row>
    <row r="471" ht="15.75" customHeight="1">
      <c r="C471" s="4" t="n"/>
    </row>
    <row r="472" ht="15.75" customHeight="1">
      <c r="C472" s="4" t="n"/>
    </row>
    <row r="473" ht="15.75" customHeight="1">
      <c r="C473" s="4" t="n"/>
    </row>
    <row r="474" ht="15.75" customHeight="1">
      <c r="C474" s="4" t="n"/>
    </row>
    <row r="475" ht="15.75" customHeight="1">
      <c r="C475" s="4" t="n"/>
    </row>
    <row r="476" ht="15.75" customHeight="1">
      <c r="C476" s="4" t="n"/>
    </row>
    <row r="477" ht="15.75" customHeight="1">
      <c r="C477" s="4" t="n"/>
    </row>
    <row r="478" ht="15.75" customHeight="1">
      <c r="C478" s="4" t="n"/>
    </row>
    <row r="479" ht="15.75" customHeight="1">
      <c r="C479" s="4" t="n"/>
    </row>
    <row r="480" ht="15.75" customHeight="1">
      <c r="C480" s="4" t="n"/>
    </row>
    <row r="481" ht="15.75" customHeight="1">
      <c r="C481" s="4" t="n"/>
    </row>
    <row r="482" ht="15.75" customHeight="1">
      <c r="C482" s="4" t="n"/>
    </row>
    <row r="483" ht="15.75" customHeight="1">
      <c r="C483" s="4" t="n"/>
    </row>
    <row r="484" ht="15.75" customHeight="1">
      <c r="C484" s="4" t="n"/>
    </row>
    <row r="485" ht="15.75" customHeight="1">
      <c r="C485" s="4" t="n"/>
    </row>
    <row r="486" ht="15.75" customHeight="1">
      <c r="C486" s="4" t="n"/>
    </row>
    <row r="487" ht="15.75" customHeight="1">
      <c r="C487" s="4" t="n"/>
    </row>
    <row r="488" ht="15.75" customHeight="1">
      <c r="C488" s="4" t="n"/>
    </row>
    <row r="489" ht="15.75" customHeight="1">
      <c r="C489" s="4" t="n"/>
    </row>
    <row r="490" ht="15.75" customHeight="1">
      <c r="C490" s="4" t="n"/>
    </row>
    <row r="491" ht="15.75" customHeight="1">
      <c r="C491" s="4" t="n"/>
    </row>
    <row r="492" ht="15.75" customHeight="1">
      <c r="C492" s="4" t="n"/>
    </row>
    <row r="493" ht="15.75" customHeight="1">
      <c r="C493" s="4" t="n"/>
    </row>
    <row r="494" ht="15.75" customHeight="1">
      <c r="C494" s="4" t="n"/>
    </row>
    <row r="495" ht="15.75" customHeight="1">
      <c r="C495" s="4" t="n"/>
    </row>
    <row r="496" ht="15.75" customHeight="1">
      <c r="C496" s="4" t="n"/>
    </row>
    <row r="497" ht="15.75" customHeight="1">
      <c r="C497" s="4" t="n"/>
    </row>
    <row r="498" ht="15.75" customHeight="1">
      <c r="C498" s="4" t="n"/>
    </row>
    <row r="499" ht="15.75" customHeight="1">
      <c r="C499" s="4" t="n"/>
    </row>
    <row r="500" ht="15.75" customHeight="1">
      <c r="C500" s="4" t="n"/>
    </row>
    <row r="501" ht="15.75" customHeight="1">
      <c r="C501" s="4" t="n"/>
    </row>
    <row r="502" ht="15.75" customHeight="1">
      <c r="C502" s="4" t="n"/>
    </row>
    <row r="503" ht="15.75" customHeight="1">
      <c r="C503" s="4" t="n"/>
    </row>
    <row r="504" ht="15.75" customHeight="1">
      <c r="C504" s="4" t="n"/>
    </row>
    <row r="505" ht="15.75" customHeight="1">
      <c r="C505" s="4" t="n"/>
    </row>
    <row r="506" ht="15.75" customHeight="1">
      <c r="C506" s="4" t="n"/>
    </row>
    <row r="507" ht="15.75" customHeight="1">
      <c r="C507" s="4" t="n"/>
    </row>
    <row r="508" ht="15.75" customHeight="1">
      <c r="C508" s="4" t="n"/>
    </row>
    <row r="509" ht="15.75" customHeight="1">
      <c r="C509" s="4" t="n"/>
    </row>
    <row r="510" ht="15.75" customHeight="1">
      <c r="C510" s="4" t="n"/>
    </row>
    <row r="511" ht="15.75" customHeight="1">
      <c r="C511" s="4" t="n"/>
    </row>
    <row r="512" ht="15.75" customHeight="1">
      <c r="C512" s="4" t="n"/>
    </row>
    <row r="513" ht="15.75" customHeight="1">
      <c r="C513" s="4" t="n"/>
    </row>
    <row r="514" ht="15.75" customHeight="1">
      <c r="C514" s="4" t="n"/>
    </row>
    <row r="515" ht="15.75" customHeight="1">
      <c r="C515" s="4" t="n"/>
    </row>
    <row r="516" ht="15.75" customHeight="1">
      <c r="C516" s="4" t="n"/>
    </row>
    <row r="517" ht="15.75" customHeight="1">
      <c r="C517" s="4" t="n"/>
    </row>
    <row r="518" ht="15.75" customHeight="1">
      <c r="C518" s="4" t="n"/>
    </row>
    <row r="519" ht="15.75" customHeight="1">
      <c r="C519" s="4" t="n"/>
    </row>
    <row r="520" ht="15.75" customHeight="1">
      <c r="C520" s="4" t="n"/>
    </row>
    <row r="521" ht="15.75" customHeight="1">
      <c r="C521" s="4" t="n"/>
    </row>
    <row r="522" ht="15.75" customHeight="1">
      <c r="C522" s="4" t="n"/>
    </row>
    <row r="523" ht="15.75" customHeight="1">
      <c r="C523" s="4" t="n"/>
    </row>
    <row r="524" ht="15.75" customHeight="1">
      <c r="C524" s="4" t="n"/>
    </row>
    <row r="525" ht="15.75" customHeight="1">
      <c r="C525" s="4" t="n"/>
    </row>
    <row r="526" ht="15.75" customHeight="1">
      <c r="C526" s="4" t="n"/>
    </row>
    <row r="527" ht="15.75" customHeight="1">
      <c r="C527" s="4" t="n"/>
    </row>
    <row r="528" ht="15.75" customHeight="1">
      <c r="C528" s="4" t="n"/>
    </row>
    <row r="529" ht="15.75" customHeight="1">
      <c r="C529" s="4" t="n"/>
    </row>
    <row r="530" ht="15.75" customHeight="1">
      <c r="C530" s="4" t="n"/>
    </row>
    <row r="531" ht="15.75" customHeight="1">
      <c r="C531" s="4" t="n"/>
    </row>
    <row r="532" ht="15.75" customHeight="1">
      <c r="C532" s="4" t="n"/>
    </row>
    <row r="533" ht="15.75" customHeight="1">
      <c r="C533" s="4" t="n"/>
    </row>
    <row r="534" ht="15.75" customHeight="1">
      <c r="C534" s="4" t="n"/>
    </row>
    <row r="535" ht="15.75" customHeight="1">
      <c r="C535" s="4" t="n"/>
    </row>
    <row r="536" ht="15.75" customHeight="1">
      <c r="C536" s="4" t="n"/>
    </row>
    <row r="537" ht="15.75" customHeight="1">
      <c r="C537" s="4" t="n"/>
    </row>
    <row r="538" ht="15.75" customHeight="1">
      <c r="C538" s="4" t="n"/>
    </row>
    <row r="539" ht="15.75" customHeight="1">
      <c r="C539" s="4" t="n"/>
    </row>
    <row r="540" ht="15.75" customHeight="1">
      <c r="C540" s="4" t="n"/>
    </row>
    <row r="541" ht="15.75" customHeight="1">
      <c r="C541" s="4" t="n"/>
    </row>
    <row r="542" ht="15.75" customHeight="1">
      <c r="C542" s="4" t="n"/>
    </row>
    <row r="543" ht="15.75" customHeight="1">
      <c r="C543" s="4" t="n"/>
    </row>
    <row r="544" ht="15.75" customHeight="1">
      <c r="C544" s="4" t="n"/>
    </row>
    <row r="545" ht="15.75" customHeight="1">
      <c r="C545" s="4" t="n"/>
    </row>
    <row r="546" ht="15.75" customHeight="1">
      <c r="C546" s="4" t="n"/>
    </row>
    <row r="547" ht="15.75" customHeight="1">
      <c r="C547" s="4" t="n"/>
    </row>
    <row r="548" ht="15.75" customHeight="1">
      <c r="C548" s="4" t="n"/>
    </row>
    <row r="549" ht="15.75" customHeight="1">
      <c r="C549" s="4" t="n"/>
    </row>
    <row r="550" ht="15.75" customHeight="1">
      <c r="C550" s="4" t="n"/>
    </row>
    <row r="551" ht="15.75" customHeight="1">
      <c r="C551" s="4" t="n"/>
    </row>
    <row r="552" ht="15.75" customHeight="1">
      <c r="C552" s="4" t="n"/>
    </row>
    <row r="553" ht="15.75" customHeight="1">
      <c r="C553" s="4" t="n"/>
    </row>
    <row r="554" ht="15.75" customHeight="1">
      <c r="C554" s="4" t="n"/>
    </row>
    <row r="555" ht="15.75" customHeight="1">
      <c r="C555" s="4" t="n"/>
    </row>
    <row r="556" ht="15.75" customHeight="1">
      <c r="C556" s="4" t="n"/>
    </row>
    <row r="557" ht="15.75" customHeight="1">
      <c r="C557" s="4" t="n"/>
    </row>
    <row r="558" ht="15.75" customHeight="1">
      <c r="C558" s="4" t="n"/>
    </row>
    <row r="559" ht="15.75" customHeight="1">
      <c r="C559" s="4" t="n"/>
    </row>
    <row r="560" ht="15.75" customHeight="1">
      <c r="C560" s="4" t="n"/>
    </row>
    <row r="561" ht="15.75" customHeight="1">
      <c r="C561" s="4" t="n"/>
    </row>
    <row r="562" ht="15.75" customHeight="1">
      <c r="C562" s="4" t="n"/>
    </row>
    <row r="563" ht="15.75" customHeight="1">
      <c r="C563" s="4" t="n"/>
    </row>
    <row r="564" ht="15.75" customHeight="1">
      <c r="C564" s="4" t="n"/>
    </row>
    <row r="565" ht="15.75" customHeight="1">
      <c r="C565" s="4" t="n"/>
    </row>
    <row r="566" ht="15.75" customHeight="1">
      <c r="C566" s="4" t="n"/>
    </row>
    <row r="567" ht="15.75" customHeight="1">
      <c r="C567" s="4" t="n"/>
    </row>
    <row r="568" ht="15.75" customHeight="1">
      <c r="C568" s="4" t="n"/>
    </row>
    <row r="569" ht="15.75" customHeight="1">
      <c r="C569" s="4" t="n"/>
    </row>
    <row r="570" ht="15.75" customHeight="1">
      <c r="C570" s="4" t="n"/>
    </row>
    <row r="571" ht="15.75" customHeight="1">
      <c r="C571" s="4" t="n"/>
    </row>
    <row r="572" ht="15.75" customHeight="1">
      <c r="C572" s="4" t="n"/>
    </row>
    <row r="573" ht="15.75" customHeight="1">
      <c r="C573" s="4" t="n"/>
    </row>
    <row r="574" ht="15.75" customHeight="1">
      <c r="C574" s="4" t="n"/>
    </row>
    <row r="575" ht="15.75" customHeight="1">
      <c r="C575" s="4" t="n"/>
    </row>
    <row r="576" ht="15.75" customHeight="1">
      <c r="C576" s="4" t="n"/>
    </row>
    <row r="577" ht="15.75" customHeight="1">
      <c r="C577" s="4" t="n"/>
    </row>
    <row r="578" ht="15.75" customHeight="1">
      <c r="C578" s="4" t="n"/>
    </row>
    <row r="579" ht="15.75" customHeight="1">
      <c r="C579" s="4" t="n"/>
    </row>
    <row r="580" ht="15.75" customHeight="1">
      <c r="C580" s="4" t="n"/>
    </row>
    <row r="581" ht="15.75" customHeight="1">
      <c r="C581" s="4" t="n"/>
    </row>
    <row r="582" ht="15.75" customHeight="1">
      <c r="C582" s="4" t="n"/>
    </row>
    <row r="583" ht="15.75" customHeight="1">
      <c r="C583" s="4" t="n"/>
    </row>
    <row r="584" ht="15.75" customHeight="1">
      <c r="C584" s="4" t="n"/>
    </row>
    <row r="585" ht="15.75" customHeight="1">
      <c r="C585" s="4" t="n"/>
    </row>
    <row r="586" ht="15.75" customHeight="1">
      <c r="C586" s="4" t="n"/>
    </row>
    <row r="587" ht="15.75" customHeight="1">
      <c r="C587" s="4" t="n"/>
    </row>
    <row r="588" ht="15.75" customHeight="1">
      <c r="C588" s="4" t="n"/>
    </row>
    <row r="589" ht="15.75" customHeight="1">
      <c r="C589" s="4" t="n"/>
    </row>
    <row r="590" ht="15.75" customHeight="1">
      <c r="C590" s="4" t="n"/>
    </row>
    <row r="591" ht="15.75" customHeight="1">
      <c r="C591" s="4" t="n"/>
    </row>
    <row r="592" ht="15.75" customHeight="1">
      <c r="C592" s="4" t="n"/>
    </row>
    <row r="593" ht="15.75" customHeight="1">
      <c r="C593" s="4" t="n"/>
    </row>
    <row r="594" ht="15.75" customHeight="1">
      <c r="C594" s="4" t="n"/>
    </row>
    <row r="595" ht="15.75" customHeight="1">
      <c r="C595" s="4" t="n"/>
    </row>
    <row r="596" ht="15.75" customHeight="1">
      <c r="C596" s="4" t="n"/>
    </row>
    <row r="597" ht="15.75" customHeight="1">
      <c r="C597" s="4" t="n"/>
    </row>
    <row r="598" ht="15.75" customHeight="1">
      <c r="C598" s="4" t="n"/>
    </row>
    <row r="599" ht="15.75" customHeight="1">
      <c r="C599" s="4" t="n"/>
    </row>
    <row r="600" ht="15.75" customHeight="1">
      <c r="C600" s="4" t="n"/>
    </row>
    <row r="601" ht="15.75" customHeight="1">
      <c r="C601" s="4" t="n"/>
    </row>
    <row r="602" ht="15.75" customHeight="1">
      <c r="C602" s="4" t="n"/>
    </row>
    <row r="603" ht="15.75" customHeight="1">
      <c r="C603" s="4" t="n"/>
    </row>
    <row r="604" ht="15.75" customHeight="1">
      <c r="C604" s="4" t="n"/>
    </row>
    <row r="605" ht="15.75" customHeight="1">
      <c r="C605" s="4" t="n"/>
    </row>
    <row r="606" ht="15.75" customHeight="1">
      <c r="C606" s="4" t="n"/>
    </row>
    <row r="607" ht="15.75" customHeight="1">
      <c r="C607" s="4" t="n"/>
    </row>
    <row r="608" ht="15.75" customHeight="1">
      <c r="C608" s="4" t="n"/>
    </row>
    <row r="609" ht="15.75" customHeight="1">
      <c r="C609" s="4" t="n"/>
    </row>
    <row r="610" ht="15.75" customHeight="1">
      <c r="C610" s="4" t="n"/>
    </row>
    <row r="611" ht="15.75" customHeight="1">
      <c r="C611" s="4" t="n"/>
    </row>
    <row r="612" ht="15.75" customHeight="1">
      <c r="C612" s="4" t="n"/>
    </row>
    <row r="613" ht="15.75" customHeight="1">
      <c r="C613" s="4" t="n"/>
    </row>
    <row r="614" ht="15.75" customHeight="1">
      <c r="C614" s="4" t="n"/>
    </row>
    <row r="615" ht="15.75" customHeight="1">
      <c r="C615" s="4" t="n"/>
    </row>
    <row r="616" ht="15.75" customHeight="1">
      <c r="C616" s="4" t="n"/>
    </row>
    <row r="617" ht="15.75" customHeight="1">
      <c r="C617" s="4" t="n"/>
    </row>
    <row r="618" ht="15.75" customHeight="1">
      <c r="C618" s="4" t="n"/>
    </row>
    <row r="619" ht="15.75" customHeight="1">
      <c r="C619" s="4" t="n"/>
    </row>
    <row r="620" ht="15.75" customHeight="1">
      <c r="C620" s="4" t="n"/>
    </row>
    <row r="621" ht="15.75" customHeight="1">
      <c r="C621" s="4" t="n"/>
    </row>
    <row r="622" ht="15.75" customHeight="1">
      <c r="C622" s="4" t="n"/>
    </row>
    <row r="623" ht="15.75" customHeight="1">
      <c r="C623" s="4" t="n"/>
    </row>
    <row r="624" ht="15.75" customHeight="1">
      <c r="C624" s="4" t="n"/>
    </row>
    <row r="625" ht="15.75" customHeight="1">
      <c r="C625" s="4" t="n"/>
    </row>
    <row r="626" ht="15.75" customHeight="1">
      <c r="C626" s="4" t="n"/>
    </row>
    <row r="627" ht="15.75" customHeight="1">
      <c r="C627" s="4" t="n"/>
    </row>
    <row r="628" ht="15.75" customHeight="1">
      <c r="C628" s="4" t="n"/>
    </row>
    <row r="629" ht="15.75" customHeight="1">
      <c r="C629" s="4" t="n"/>
    </row>
    <row r="630" ht="15.75" customHeight="1">
      <c r="C630" s="4" t="n"/>
    </row>
    <row r="631" ht="15.75" customHeight="1">
      <c r="C631" s="4" t="n"/>
    </row>
    <row r="632" ht="15.75" customHeight="1">
      <c r="C632" s="4" t="n"/>
    </row>
    <row r="633" ht="15.75" customHeight="1">
      <c r="C633" s="4" t="n"/>
    </row>
    <row r="634" ht="15.75" customHeight="1">
      <c r="C634" s="4" t="n"/>
    </row>
    <row r="635" ht="15.75" customHeight="1">
      <c r="C635" s="4" t="n"/>
    </row>
    <row r="636" ht="15.75" customHeight="1">
      <c r="C636" s="4" t="n"/>
    </row>
    <row r="637" ht="15.75" customHeight="1">
      <c r="C637" s="4" t="n"/>
    </row>
    <row r="638" ht="15.75" customHeight="1">
      <c r="C638" s="4" t="n"/>
    </row>
    <row r="639" ht="15.75" customHeight="1">
      <c r="C639" s="4" t="n"/>
    </row>
    <row r="640" ht="15.75" customHeight="1">
      <c r="C640" s="4" t="n"/>
    </row>
    <row r="641" ht="15.75" customHeight="1">
      <c r="C641" s="4" t="n"/>
    </row>
    <row r="642" ht="15.75" customHeight="1">
      <c r="C642" s="4" t="n"/>
    </row>
    <row r="643" ht="15.75" customHeight="1">
      <c r="C643" s="4" t="n"/>
    </row>
    <row r="644" ht="15.75" customHeight="1">
      <c r="C644" s="4" t="n"/>
    </row>
    <row r="645" ht="15.75" customHeight="1">
      <c r="C645" s="4" t="n"/>
    </row>
    <row r="646" ht="15.75" customHeight="1">
      <c r="C646" s="4" t="n"/>
    </row>
    <row r="647" ht="15.75" customHeight="1">
      <c r="C647" s="4" t="n"/>
    </row>
    <row r="648" ht="15.75" customHeight="1">
      <c r="C648" s="4" t="n"/>
    </row>
    <row r="649" ht="15.75" customHeight="1">
      <c r="C649" s="4" t="n"/>
    </row>
    <row r="650" ht="15.75" customHeight="1">
      <c r="C650" s="4" t="n"/>
    </row>
    <row r="651" ht="15.75" customHeight="1">
      <c r="C651" s="4" t="n"/>
    </row>
    <row r="652" ht="15.75" customHeight="1">
      <c r="C652" s="4" t="n"/>
    </row>
    <row r="653" ht="15.75" customHeight="1">
      <c r="C653" s="4" t="n"/>
    </row>
    <row r="654" ht="15.75" customHeight="1">
      <c r="C654" s="4" t="n"/>
    </row>
    <row r="655" ht="15.75" customHeight="1">
      <c r="C655" s="4" t="n"/>
    </row>
    <row r="656" ht="15.75" customHeight="1">
      <c r="C656" s="4" t="n"/>
    </row>
    <row r="657" ht="15.75" customHeight="1">
      <c r="C657" s="4" t="n"/>
    </row>
    <row r="658" ht="15.75" customHeight="1">
      <c r="C658" s="4" t="n"/>
    </row>
    <row r="659" ht="15.75" customHeight="1">
      <c r="C659" s="4" t="n"/>
    </row>
    <row r="660" ht="15.75" customHeight="1">
      <c r="C660" s="4" t="n"/>
    </row>
    <row r="661" ht="15.75" customHeight="1">
      <c r="C661" s="4" t="n"/>
    </row>
    <row r="662" ht="15.75" customHeight="1">
      <c r="C662" s="4" t="n"/>
    </row>
    <row r="663" ht="15.75" customHeight="1">
      <c r="C663" s="4" t="n"/>
    </row>
    <row r="664" ht="15.75" customHeight="1">
      <c r="C664" s="4" t="n"/>
    </row>
    <row r="665" ht="15.75" customHeight="1">
      <c r="C665" s="4" t="n"/>
    </row>
    <row r="666" ht="15.75" customHeight="1">
      <c r="C666" s="4" t="n"/>
    </row>
    <row r="667" ht="15.75" customHeight="1">
      <c r="C667" s="4" t="n"/>
    </row>
    <row r="668" ht="15.75" customHeight="1">
      <c r="C668" s="4" t="n"/>
    </row>
    <row r="669" ht="15.75" customHeight="1">
      <c r="C669" s="4" t="n"/>
    </row>
    <row r="670" ht="15.75" customHeight="1">
      <c r="C670" s="4" t="n"/>
    </row>
    <row r="671" ht="15.75" customHeight="1">
      <c r="C671" s="4" t="n"/>
    </row>
    <row r="672" ht="15.75" customHeight="1">
      <c r="C672" s="4" t="n"/>
    </row>
    <row r="673" ht="15.75" customHeight="1">
      <c r="C673" s="4" t="n"/>
    </row>
    <row r="674" ht="15.75" customHeight="1">
      <c r="C674" s="4" t="n"/>
    </row>
    <row r="675" ht="15.75" customHeight="1">
      <c r="C675" s="4" t="n"/>
    </row>
    <row r="676" ht="15.75" customHeight="1">
      <c r="C676" s="4" t="n"/>
    </row>
    <row r="677" ht="15.75" customHeight="1">
      <c r="C677" s="4" t="n"/>
    </row>
    <row r="678" ht="15.75" customHeight="1">
      <c r="C678" s="4" t="n"/>
    </row>
    <row r="679" ht="15.75" customHeight="1">
      <c r="C679" s="4" t="n"/>
    </row>
    <row r="680" ht="15.75" customHeight="1">
      <c r="C680" s="4" t="n"/>
    </row>
    <row r="681" ht="15.75" customHeight="1">
      <c r="C681" s="4" t="n"/>
    </row>
    <row r="682" ht="15.75" customHeight="1">
      <c r="C682" s="4" t="n"/>
    </row>
    <row r="683" ht="15.75" customHeight="1">
      <c r="C683" s="4" t="n"/>
    </row>
    <row r="684" ht="15.75" customHeight="1">
      <c r="C684" s="4" t="n"/>
    </row>
    <row r="685" ht="15.75" customHeight="1">
      <c r="C685" s="4" t="n"/>
    </row>
    <row r="686" ht="15.75" customHeight="1">
      <c r="C686" s="4" t="n"/>
    </row>
    <row r="687" ht="15.75" customHeight="1">
      <c r="C687" s="4" t="n"/>
    </row>
    <row r="688" ht="15.75" customHeight="1">
      <c r="C688" s="4" t="n"/>
    </row>
    <row r="689" ht="15.75" customHeight="1">
      <c r="C689" s="4" t="n"/>
    </row>
    <row r="690" ht="15.75" customHeight="1">
      <c r="C690" s="4" t="n"/>
    </row>
    <row r="691" ht="15.75" customHeight="1">
      <c r="C691" s="4" t="n"/>
    </row>
    <row r="692" ht="15.75" customHeight="1">
      <c r="C692" s="4" t="n"/>
    </row>
    <row r="693" ht="15.75" customHeight="1">
      <c r="C693" s="4" t="n"/>
    </row>
    <row r="694" ht="15.75" customHeight="1">
      <c r="C694" s="4" t="n"/>
    </row>
    <row r="695" ht="15.75" customHeight="1">
      <c r="C695" s="4" t="n"/>
    </row>
    <row r="696" ht="15.75" customHeight="1">
      <c r="C696" s="4" t="n"/>
    </row>
    <row r="697" ht="15.75" customHeight="1">
      <c r="C697" s="4" t="n"/>
    </row>
    <row r="698" ht="15.75" customHeight="1">
      <c r="C698" s="4" t="n"/>
    </row>
    <row r="699" ht="15.75" customHeight="1">
      <c r="C699" s="4" t="n"/>
    </row>
    <row r="700" ht="15.75" customHeight="1">
      <c r="C700" s="4" t="n"/>
    </row>
    <row r="701" ht="15.75" customHeight="1">
      <c r="C701" s="4" t="n"/>
    </row>
    <row r="702" ht="15.75" customHeight="1">
      <c r="C702" s="4" t="n"/>
    </row>
    <row r="703" ht="15.75" customHeight="1">
      <c r="C703" s="4" t="n"/>
    </row>
    <row r="704" ht="15.75" customHeight="1">
      <c r="C704" s="4" t="n"/>
    </row>
    <row r="705" ht="15.75" customHeight="1">
      <c r="C705" s="4" t="n"/>
    </row>
    <row r="706" ht="15.75" customHeight="1">
      <c r="C706" s="4" t="n"/>
    </row>
    <row r="707" ht="15.75" customHeight="1">
      <c r="C707" s="4" t="n"/>
    </row>
    <row r="708" ht="15.75" customHeight="1">
      <c r="C708" s="4" t="n"/>
    </row>
    <row r="709" ht="15.75" customHeight="1">
      <c r="C709" s="4" t="n"/>
    </row>
    <row r="710" ht="15.75" customHeight="1">
      <c r="C710" s="4" t="n"/>
    </row>
    <row r="711" ht="15.75" customHeight="1">
      <c r="C711" s="4" t="n"/>
    </row>
    <row r="712" ht="15.75" customHeight="1">
      <c r="C712" s="4" t="n"/>
    </row>
    <row r="713" ht="15.75" customHeight="1">
      <c r="C713" s="4" t="n"/>
    </row>
    <row r="714" ht="15.75" customHeight="1">
      <c r="C714" s="4" t="n"/>
    </row>
    <row r="715" ht="15.75" customHeight="1">
      <c r="C715" s="4" t="n"/>
    </row>
    <row r="716" ht="15.75" customHeight="1">
      <c r="C716" s="4" t="n"/>
    </row>
    <row r="717" ht="15.75" customHeight="1">
      <c r="C717" s="4" t="n"/>
    </row>
    <row r="718" ht="15.75" customHeight="1">
      <c r="C718" s="4" t="n"/>
    </row>
    <row r="719" ht="15.75" customHeight="1">
      <c r="C719" s="4" t="n"/>
    </row>
    <row r="720" ht="15.75" customHeight="1">
      <c r="C720" s="4" t="n"/>
    </row>
    <row r="721" ht="15.75" customHeight="1">
      <c r="C721" s="4" t="n"/>
    </row>
    <row r="722" ht="15.75" customHeight="1">
      <c r="C722" s="4" t="n"/>
    </row>
    <row r="723" ht="15.75" customHeight="1">
      <c r="C723" s="4" t="n"/>
    </row>
    <row r="724" ht="15.75" customHeight="1">
      <c r="C724" s="4" t="n"/>
    </row>
    <row r="725" ht="15.75" customHeight="1">
      <c r="C725" s="4" t="n"/>
    </row>
    <row r="726" ht="15.75" customHeight="1">
      <c r="C726" s="4" t="n"/>
    </row>
    <row r="727" ht="15.75" customHeight="1">
      <c r="C727" s="4" t="n"/>
    </row>
    <row r="728" ht="15.75" customHeight="1">
      <c r="C728" s="4" t="n"/>
    </row>
    <row r="729" ht="15.75" customHeight="1">
      <c r="C729" s="4" t="n"/>
    </row>
    <row r="730" ht="15.75" customHeight="1">
      <c r="C730" s="4" t="n"/>
    </row>
    <row r="731" ht="15.75" customHeight="1">
      <c r="C731" s="4" t="n"/>
    </row>
    <row r="732" ht="15.75" customHeight="1">
      <c r="C732" s="4" t="n"/>
    </row>
    <row r="733" ht="15.75" customHeight="1">
      <c r="C733" s="4" t="n"/>
    </row>
    <row r="734" ht="15.75" customHeight="1">
      <c r="C734" s="4" t="n"/>
    </row>
    <row r="735" ht="15.75" customHeight="1">
      <c r="C735" s="4" t="n"/>
    </row>
    <row r="736" ht="15.75" customHeight="1">
      <c r="C736" s="4" t="n"/>
    </row>
    <row r="737" ht="15.75" customHeight="1">
      <c r="C737" s="4" t="n"/>
    </row>
    <row r="738" ht="15.75" customHeight="1">
      <c r="C738" s="4" t="n"/>
    </row>
    <row r="739" ht="15.75" customHeight="1">
      <c r="C739" s="4" t="n"/>
    </row>
    <row r="740" ht="15.75" customHeight="1">
      <c r="C740" s="4" t="n"/>
    </row>
    <row r="741" ht="15.75" customHeight="1">
      <c r="C741" s="4" t="n"/>
    </row>
    <row r="742" ht="15.75" customHeight="1">
      <c r="C742" s="4" t="n"/>
    </row>
    <row r="743" ht="15.75" customHeight="1">
      <c r="C743" s="4" t="n"/>
    </row>
    <row r="744" ht="15.75" customHeight="1">
      <c r="C744" s="4" t="n"/>
    </row>
    <row r="745" ht="15.75" customHeight="1">
      <c r="C745" s="4" t="n"/>
    </row>
    <row r="746" ht="15.75" customHeight="1">
      <c r="C746" s="4" t="n"/>
    </row>
    <row r="747" ht="15.75" customHeight="1">
      <c r="C747" s="4" t="n"/>
    </row>
    <row r="748" ht="15.75" customHeight="1">
      <c r="C748" s="4" t="n"/>
    </row>
    <row r="749" ht="15.75" customHeight="1">
      <c r="C749" s="4" t="n"/>
    </row>
    <row r="750" ht="15.75" customHeight="1">
      <c r="C750" s="4" t="n"/>
    </row>
    <row r="751" ht="15.75" customHeight="1">
      <c r="C751" s="4" t="n"/>
    </row>
    <row r="752" ht="15.75" customHeight="1">
      <c r="C752" s="4" t="n"/>
    </row>
    <row r="753" ht="15.75" customHeight="1">
      <c r="C753" s="4" t="n"/>
    </row>
    <row r="754" ht="15.75" customHeight="1">
      <c r="C754" s="4" t="n"/>
    </row>
    <row r="755" ht="15.75" customHeight="1">
      <c r="C755" s="4" t="n"/>
    </row>
    <row r="756" ht="15.75" customHeight="1">
      <c r="C756" s="4" t="n"/>
    </row>
    <row r="757" ht="15.75" customHeight="1">
      <c r="C757" s="4" t="n"/>
    </row>
    <row r="758" ht="15.75" customHeight="1">
      <c r="C758" s="4" t="n"/>
    </row>
    <row r="759" ht="15.75" customHeight="1">
      <c r="C759" s="4" t="n"/>
    </row>
    <row r="760" ht="15.75" customHeight="1">
      <c r="C760" s="4" t="n"/>
    </row>
    <row r="761" ht="15.75" customHeight="1">
      <c r="C761" s="4" t="n"/>
    </row>
    <row r="762" ht="15.75" customHeight="1">
      <c r="C762" s="4" t="n"/>
    </row>
    <row r="763" ht="15.75" customHeight="1">
      <c r="C763" s="4" t="n"/>
    </row>
    <row r="764" ht="15.75" customHeight="1">
      <c r="C764" s="4" t="n"/>
    </row>
    <row r="765" ht="15.75" customHeight="1">
      <c r="C765" s="4" t="n"/>
    </row>
    <row r="766" ht="15.75" customHeight="1">
      <c r="C766" s="4" t="n"/>
    </row>
    <row r="767" ht="15.75" customHeight="1">
      <c r="C767" s="4" t="n"/>
    </row>
    <row r="768" ht="15.75" customHeight="1">
      <c r="C768" s="4" t="n"/>
    </row>
    <row r="769" ht="15.75" customHeight="1">
      <c r="C769" s="4" t="n"/>
    </row>
    <row r="770" ht="15.75" customHeight="1">
      <c r="C770" s="4" t="n"/>
    </row>
    <row r="771" ht="15.75" customHeight="1">
      <c r="C771" s="4" t="n"/>
    </row>
    <row r="772" ht="15.75" customHeight="1">
      <c r="C772" s="4" t="n"/>
    </row>
    <row r="773" ht="15.75" customHeight="1">
      <c r="C773" s="4" t="n"/>
    </row>
    <row r="774" ht="15.75" customHeight="1">
      <c r="C774" s="4" t="n"/>
    </row>
    <row r="775" ht="15.75" customHeight="1">
      <c r="C775" s="4" t="n"/>
    </row>
    <row r="776" ht="15.75" customHeight="1">
      <c r="C776" s="4" t="n"/>
    </row>
    <row r="777" ht="15.75" customHeight="1">
      <c r="C777" s="4" t="n"/>
    </row>
    <row r="778" ht="15.75" customHeight="1">
      <c r="C778" s="4" t="n"/>
    </row>
    <row r="779" ht="15.75" customHeight="1">
      <c r="C779" s="4" t="n"/>
    </row>
    <row r="780" ht="15.75" customHeight="1">
      <c r="C780" s="4" t="n"/>
    </row>
    <row r="781" ht="15.75" customHeight="1">
      <c r="C781" s="4" t="n"/>
    </row>
    <row r="782" ht="15.75" customHeight="1">
      <c r="C782" s="4" t="n"/>
    </row>
    <row r="783" ht="15.75" customHeight="1">
      <c r="C783" s="4" t="n"/>
    </row>
    <row r="784" ht="15.75" customHeight="1">
      <c r="C784" s="4" t="n"/>
    </row>
    <row r="785" ht="15.75" customHeight="1">
      <c r="C785" s="4" t="n"/>
    </row>
    <row r="786" ht="15.75" customHeight="1">
      <c r="C786" s="4" t="n"/>
    </row>
    <row r="787" ht="15.75" customHeight="1">
      <c r="C787" s="4" t="n"/>
    </row>
    <row r="788" ht="15.75" customHeight="1">
      <c r="C788" s="4" t="n"/>
    </row>
    <row r="789" ht="15.75" customHeight="1">
      <c r="C789" s="4" t="n"/>
    </row>
    <row r="790" ht="15.75" customHeight="1">
      <c r="C790" s="4" t="n"/>
    </row>
    <row r="791" ht="15.75" customHeight="1">
      <c r="C791" s="4" t="n"/>
    </row>
    <row r="792" ht="15.75" customHeight="1">
      <c r="C792" s="4" t="n"/>
    </row>
    <row r="793" ht="15.75" customHeight="1">
      <c r="C793" s="4" t="n"/>
    </row>
    <row r="794" ht="15.75" customHeight="1">
      <c r="C794" s="4" t="n"/>
    </row>
    <row r="795" ht="15.75" customHeight="1">
      <c r="C795" s="4" t="n"/>
    </row>
    <row r="796" ht="15.75" customHeight="1">
      <c r="C796" s="4" t="n"/>
    </row>
    <row r="797" ht="15.75" customHeight="1">
      <c r="C797" s="4" t="n"/>
    </row>
    <row r="798" ht="15.75" customHeight="1">
      <c r="C798" s="4" t="n"/>
    </row>
    <row r="799" ht="15.75" customHeight="1">
      <c r="C799" s="4" t="n"/>
    </row>
    <row r="800" ht="15.75" customHeight="1">
      <c r="C800" s="4" t="n"/>
    </row>
    <row r="801" ht="15.75" customHeight="1">
      <c r="C801" s="4" t="n"/>
    </row>
    <row r="802" ht="15.75" customHeight="1">
      <c r="C802" s="4" t="n"/>
    </row>
    <row r="803" ht="15.75" customHeight="1">
      <c r="C803" s="4" t="n"/>
    </row>
    <row r="804" ht="15.75" customHeight="1">
      <c r="C804" s="4" t="n"/>
    </row>
    <row r="805" ht="15.75" customHeight="1">
      <c r="C805" s="4" t="n"/>
    </row>
    <row r="806" ht="15.75" customHeight="1">
      <c r="C806" s="4" t="n"/>
    </row>
    <row r="807" ht="15.75" customHeight="1">
      <c r="C807" s="4" t="n"/>
    </row>
    <row r="808" ht="15.75" customHeight="1">
      <c r="C808" s="4" t="n"/>
    </row>
    <row r="809" ht="15.75" customHeight="1">
      <c r="C809" s="4" t="n"/>
    </row>
    <row r="810" ht="15.75" customHeight="1">
      <c r="C810" s="4" t="n"/>
    </row>
    <row r="811" ht="15.75" customHeight="1">
      <c r="C811" s="4" t="n"/>
    </row>
    <row r="812" ht="15.75" customHeight="1">
      <c r="C812" s="4" t="n"/>
    </row>
    <row r="813" ht="15.75" customHeight="1">
      <c r="C813" s="4" t="n"/>
    </row>
    <row r="814" ht="15.75" customHeight="1">
      <c r="C814" s="4" t="n"/>
    </row>
    <row r="815" ht="15.75" customHeight="1">
      <c r="C815" s="4" t="n"/>
    </row>
    <row r="816" ht="15.75" customHeight="1">
      <c r="C816" s="4" t="n"/>
    </row>
    <row r="817" ht="15.75" customHeight="1">
      <c r="C817" s="4" t="n"/>
    </row>
    <row r="818" ht="15.75" customHeight="1">
      <c r="C818" s="4" t="n"/>
    </row>
    <row r="819" ht="15.75" customHeight="1">
      <c r="C819" s="4" t="n"/>
    </row>
    <row r="820" ht="15.75" customHeight="1">
      <c r="C820" s="4" t="n"/>
    </row>
    <row r="821" ht="15.75" customHeight="1">
      <c r="C821" s="4" t="n"/>
    </row>
    <row r="822" ht="15.75" customHeight="1">
      <c r="C822" s="4" t="n"/>
    </row>
    <row r="823" ht="15.75" customHeight="1">
      <c r="C823" s="4" t="n"/>
    </row>
    <row r="824" ht="15.75" customHeight="1">
      <c r="C824" s="4" t="n"/>
    </row>
    <row r="825" ht="15.75" customHeight="1">
      <c r="C825" s="4" t="n"/>
    </row>
    <row r="826" ht="15.75" customHeight="1">
      <c r="C826" s="4" t="n"/>
    </row>
    <row r="827" ht="15.75" customHeight="1">
      <c r="C827" s="4" t="n"/>
    </row>
    <row r="828" ht="15.75" customHeight="1">
      <c r="C828" s="4" t="n"/>
    </row>
    <row r="829" ht="15.75" customHeight="1">
      <c r="C829" s="4" t="n"/>
    </row>
    <row r="830" ht="15.75" customHeight="1">
      <c r="C830" s="4" t="n"/>
    </row>
    <row r="831" ht="15.75" customHeight="1">
      <c r="C831" s="4" t="n"/>
    </row>
    <row r="832" ht="15.75" customHeight="1">
      <c r="C832" s="4" t="n"/>
    </row>
    <row r="833" ht="15.75" customHeight="1">
      <c r="C833" s="4" t="n"/>
    </row>
    <row r="834" ht="15.75" customHeight="1">
      <c r="C834" s="4" t="n"/>
    </row>
    <row r="835" ht="15.75" customHeight="1">
      <c r="C835" s="4" t="n"/>
    </row>
    <row r="836" ht="15.75" customHeight="1">
      <c r="C836" s="4" t="n"/>
    </row>
    <row r="837" ht="15.75" customHeight="1">
      <c r="C837" s="4" t="n"/>
    </row>
    <row r="838" ht="15.75" customHeight="1">
      <c r="C838" s="4" t="n"/>
    </row>
    <row r="839" ht="15.75" customHeight="1">
      <c r="C839" s="4" t="n"/>
    </row>
    <row r="840" ht="15.75" customHeight="1">
      <c r="C840" s="4" t="n"/>
    </row>
    <row r="841" ht="15.75" customHeight="1">
      <c r="C841" s="4" t="n"/>
    </row>
    <row r="842" ht="15.75" customHeight="1">
      <c r="C842" s="4" t="n"/>
    </row>
    <row r="843" ht="15.75" customHeight="1">
      <c r="C843" s="4" t="n"/>
    </row>
    <row r="844" ht="15.75" customHeight="1">
      <c r="C844" s="4" t="n"/>
    </row>
    <row r="845" ht="15.75" customHeight="1">
      <c r="C845" s="4" t="n"/>
    </row>
    <row r="846" ht="15.75" customHeight="1">
      <c r="C846" s="4" t="n"/>
    </row>
    <row r="847" ht="15.75" customHeight="1">
      <c r="C847" s="4" t="n"/>
    </row>
    <row r="848" ht="15.75" customHeight="1">
      <c r="C848" s="4" t="n"/>
    </row>
    <row r="849" ht="15.75" customHeight="1">
      <c r="C849" s="4" t="n"/>
    </row>
    <row r="850" ht="15.75" customHeight="1">
      <c r="C850" s="4" t="n"/>
    </row>
    <row r="851" ht="15.75" customHeight="1">
      <c r="C851" s="4" t="n"/>
    </row>
    <row r="852" ht="15.75" customHeight="1">
      <c r="C852" s="4" t="n"/>
    </row>
    <row r="853" ht="15.75" customHeight="1">
      <c r="C853" s="4" t="n"/>
    </row>
    <row r="854" ht="15.75" customHeight="1">
      <c r="C854" s="4" t="n"/>
    </row>
    <row r="855" ht="15.75" customHeight="1">
      <c r="C855" s="4" t="n"/>
    </row>
    <row r="856" ht="15.75" customHeight="1">
      <c r="C856" s="4" t="n"/>
    </row>
    <row r="857" ht="15.75" customHeight="1">
      <c r="C857" s="4" t="n"/>
    </row>
    <row r="858" ht="15.75" customHeight="1">
      <c r="C858" s="4" t="n"/>
    </row>
    <row r="859" ht="15.75" customHeight="1">
      <c r="C859" s="4" t="n"/>
    </row>
    <row r="860" ht="15.75" customHeight="1">
      <c r="C860" s="4" t="n"/>
    </row>
    <row r="861" ht="15.75" customHeight="1">
      <c r="C861" s="4" t="n"/>
    </row>
    <row r="862" ht="15.75" customHeight="1">
      <c r="C862" s="4" t="n"/>
    </row>
    <row r="863" ht="15.75" customHeight="1">
      <c r="C863" s="4" t="n"/>
    </row>
    <row r="864" ht="15.75" customHeight="1">
      <c r="C864" s="4" t="n"/>
    </row>
    <row r="865" ht="15.75" customHeight="1">
      <c r="C865" s="4" t="n"/>
    </row>
    <row r="866" ht="15.75" customHeight="1">
      <c r="C866" s="4" t="n"/>
    </row>
    <row r="867" ht="15.75" customHeight="1">
      <c r="C867" s="4" t="n"/>
    </row>
    <row r="868" ht="15.75" customHeight="1">
      <c r="C868" s="4" t="n"/>
    </row>
    <row r="869" ht="15.75" customHeight="1">
      <c r="C869" s="4" t="n"/>
    </row>
    <row r="870" ht="15.75" customHeight="1">
      <c r="C870" s="4" t="n"/>
    </row>
    <row r="871" ht="15.75" customHeight="1">
      <c r="C871" s="4" t="n"/>
    </row>
    <row r="872" ht="15.75" customHeight="1">
      <c r="C872" s="4" t="n"/>
    </row>
    <row r="873" ht="15.75" customHeight="1">
      <c r="C873" s="4" t="n"/>
    </row>
    <row r="874" ht="15.75" customHeight="1">
      <c r="C874" s="4" t="n"/>
    </row>
    <row r="875" ht="15.75" customHeight="1">
      <c r="C875" s="4" t="n"/>
    </row>
    <row r="876" ht="15.75" customHeight="1">
      <c r="C876" s="4" t="n"/>
    </row>
    <row r="877" ht="15.75" customHeight="1">
      <c r="C877" s="4" t="n"/>
    </row>
    <row r="878" ht="15.75" customHeight="1">
      <c r="C878" s="4" t="n"/>
    </row>
    <row r="879" ht="15.75" customHeight="1">
      <c r="C879" s="4" t="n"/>
    </row>
    <row r="880" ht="15.75" customHeight="1">
      <c r="C880" s="4" t="n"/>
    </row>
    <row r="881" ht="15.75" customHeight="1">
      <c r="C881" s="4" t="n"/>
    </row>
    <row r="882" ht="15.75" customHeight="1">
      <c r="C882" s="4" t="n"/>
    </row>
    <row r="883" ht="15.75" customHeight="1">
      <c r="C883" s="4" t="n"/>
    </row>
    <row r="884" ht="15.75" customHeight="1">
      <c r="C884" s="4" t="n"/>
    </row>
    <row r="885" ht="15.75" customHeight="1">
      <c r="C885" s="4" t="n"/>
    </row>
    <row r="886" ht="15.75" customHeight="1">
      <c r="C886" s="4" t="n"/>
    </row>
    <row r="887" ht="15.75" customHeight="1">
      <c r="C887" s="4" t="n"/>
    </row>
    <row r="888" ht="15.75" customHeight="1">
      <c r="C888" s="4" t="n"/>
    </row>
    <row r="889" ht="15.75" customHeight="1">
      <c r="C889" s="4" t="n"/>
    </row>
    <row r="890" ht="15.75" customHeight="1">
      <c r="C890" s="4" t="n"/>
    </row>
    <row r="891" ht="15.75" customHeight="1">
      <c r="C891" s="4" t="n"/>
    </row>
    <row r="892" ht="15.75" customHeight="1">
      <c r="C892" s="4" t="n"/>
    </row>
    <row r="893" ht="15.75" customHeight="1">
      <c r="C893" s="4" t="n"/>
    </row>
    <row r="894" ht="15.75" customHeight="1">
      <c r="C894" s="4" t="n"/>
    </row>
    <row r="895" ht="15.75" customHeight="1">
      <c r="C895" s="4" t="n"/>
    </row>
    <row r="896" ht="15.75" customHeight="1">
      <c r="C896" s="4" t="n"/>
    </row>
    <row r="897" ht="15.75" customHeight="1">
      <c r="C897" s="4" t="n"/>
    </row>
    <row r="898" ht="15.75" customHeight="1">
      <c r="C898" s="4" t="n"/>
    </row>
    <row r="899" ht="15.75" customHeight="1">
      <c r="C899" s="4" t="n"/>
    </row>
    <row r="900" ht="15.75" customHeight="1">
      <c r="C900" s="4" t="n"/>
    </row>
    <row r="901" ht="15.75" customHeight="1">
      <c r="C901" s="4" t="n"/>
    </row>
    <row r="902" ht="15.75" customHeight="1">
      <c r="C902" s="4" t="n"/>
    </row>
    <row r="903" ht="15.75" customHeight="1">
      <c r="C903" s="4" t="n"/>
    </row>
    <row r="904" ht="15.75" customHeight="1">
      <c r="C904" s="4" t="n"/>
    </row>
    <row r="905" ht="15.75" customHeight="1">
      <c r="C905" s="4" t="n"/>
    </row>
    <row r="906" ht="15.75" customHeight="1">
      <c r="C906" s="4" t="n"/>
    </row>
    <row r="907" ht="15.75" customHeight="1">
      <c r="C907" s="4" t="n"/>
    </row>
    <row r="908" ht="15.75" customHeight="1">
      <c r="C908" s="4" t="n"/>
    </row>
    <row r="909" ht="15.75" customHeight="1">
      <c r="C909" s="4" t="n"/>
    </row>
    <row r="910" ht="15.75" customHeight="1">
      <c r="C910" s="4" t="n"/>
    </row>
    <row r="911" ht="15.75" customHeight="1">
      <c r="C911" s="4" t="n"/>
    </row>
    <row r="912" ht="15.75" customHeight="1">
      <c r="C912" s="4" t="n"/>
    </row>
    <row r="913" ht="15.75" customHeight="1">
      <c r="C913" s="4" t="n"/>
    </row>
    <row r="914" ht="15.75" customHeight="1">
      <c r="C914" s="4" t="n"/>
    </row>
    <row r="915" ht="15.75" customHeight="1">
      <c r="C915" s="4" t="n"/>
    </row>
    <row r="916" ht="15.75" customHeight="1">
      <c r="C916" s="4" t="n"/>
    </row>
    <row r="917" ht="15.75" customHeight="1">
      <c r="C917" s="4" t="n"/>
    </row>
    <row r="918" ht="15.75" customHeight="1">
      <c r="C918" s="4" t="n"/>
    </row>
    <row r="919" ht="15.75" customHeight="1">
      <c r="C919" s="4" t="n"/>
    </row>
    <row r="920" ht="15.75" customHeight="1">
      <c r="C920" s="4" t="n"/>
    </row>
    <row r="921" ht="15.75" customHeight="1">
      <c r="C921" s="4" t="n"/>
    </row>
    <row r="922" ht="15.75" customHeight="1">
      <c r="C922" s="4" t="n"/>
    </row>
    <row r="923" ht="15.75" customHeight="1">
      <c r="C923" s="4" t="n"/>
    </row>
    <row r="924" ht="15.75" customHeight="1">
      <c r="C924" s="4" t="n"/>
    </row>
    <row r="925" ht="15.75" customHeight="1">
      <c r="C925" s="4" t="n"/>
    </row>
    <row r="926" ht="15.75" customHeight="1">
      <c r="C926" s="4" t="n"/>
    </row>
    <row r="927" ht="15.75" customHeight="1">
      <c r="C927" s="4" t="n"/>
    </row>
    <row r="928" ht="15.75" customHeight="1">
      <c r="C928" s="4" t="n"/>
    </row>
    <row r="929" ht="15.75" customHeight="1">
      <c r="C929" s="4" t="n"/>
    </row>
    <row r="930" ht="15.75" customHeight="1">
      <c r="C930" s="4" t="n"/>
    </row>
    <row r="931" ht="15.75" customHeight="1">
      <c r="C931" s="4" t="n"/>
    </row>
    <row r="932" ht="15.75" customHeight="1">
      <c r="C932" s="4" t="n"/>
    </row>
    <row r="933" ht="15.75" customHeight="1">
      <c r="C933" s="4" t="n"/>
    </row>
    <row r="934" ht="15.75" customHeight="1">
      <c r="C934" s="4" t="n"/>
    </row>
    <row r="935" ht="15.75" customHeight="1">
      <c r="C935" s="4" t="n"/>
    </row>
    <row r="936" ht="15.75" customHeight="1">
      <c r="C936" s="4" t="n"/>
    </row>
    <row r="937" ht="15.75" customHeight="1">
      <c r="C937" s="4" t="n"/>
    </row>
    <row r="938" ht="15.75" customHeight="1">
      <c r="C938" s="4" t="n"/>
    </row>
    <row r="939" ht="15.75" customHeight="1">
      <c r="C939" s="4" t="n"/>
    </row>
    <row r="940" ht="15.75" customHeight="1">
      <c r="C940" s="4" t="n"/>
    </row>
    <row r="941" ht="15.75" customHeight="1">
      <c r="C941" s="4" t="n"/>
    </row>
    <row r="942" ht="15.75" customHeight="1">
      <c r="C942" s="4" t="n"/>
    </row>
    <row r="943" ht="15.75" customHeight="1">
      <c r="C943" s="4" t="n"/>
    </row>
    <row r="944" ht="15.75" customHeight="1">
      <c r="C944" s="4" t="n"/>
    </row>
    <row r="945" ht="15.75" customHeight="1">
      <c r="C945" s="4" t="n"/>
    </row>
    <row r="946" ht="15.75" customHeight="1">
      <c r="C946" s="4" t="n"/>
    </row>
    <row r="947" ht="15.75" customHeight="1">
      <c r="C947" s="4" t="n"/>
    </row>
    <row r="948" ht="15.75" customHeight="1">
      <c r="C948" s="4" t="n"/>
    </row>
    <row r="949" ht="15.75" customHeight="1">
      <c r="C949" s="4" t="n"/>
    </row>
    <row r="950" ht="15.75" customHeight="1">
      <c r="C950" s="4" t="n"/>
    </row>
    <row r="951" ht="15.75" customHeight="1">
      <c r="C951" s="4" t="n"/>
    </row>
    <row r="952" ht="15.75" customHeight="1">
      <c r="C952" s="4" t="n"/>
    </row>
    <row r="953" ht="15.75" customHeight="1">
      <c r="C953" s="4" t="n"/>
    </row>
    <row r="954" ht="15.75" customHeight="1">
      <c r="C954" s="4" t="n"/>
    </row>
    <row r="955" ht="15.75" customHeight="1">
      <c r="C955" s="4" t="n"/>
    </row>
    <row r="956" ht="15.75" customHeight="1">
      <c r="C956" s="4" t="n"/>
    </row>
    <row r="957" ht="15.75" customHeight="1">
      <c r="C957" s="4" t="n"/>
    </row>
    <row r="958" ht="15.75" customHeight="1">
      <c r="C958" s="4" t="n"/>
    </row>
    <row r="959" ht="15.75" customHeight="1">
      <c r="C959" s="4" t="n"/>
    </row>
    <row r="960" ht="15.75" customHeight="1">
      <c r="C960" s="4" t="n"/>
    </row>
    <row r="961" ht="15.75" customHeight="1">
      <c r="C961" s="4" t="n"/>
    </row>
    <row r="962" ht="15.75" customHeight="1">
      <c r="C962" s="4" t="n"/>
    </row>
    <row r="963" ht="15.75" customHeight="1">
      <c r="C963" s="4" t="n"/>
    </row>
    <row r="964" ht="15.75" customHeight="1">
      <c r="C964" s="4" t="n"/>
    </row>
    <row r="965" ht="15.75" customHeight="1">
      <c r="C965" s="4" t="n"/>
    </row>
    <row r="966" ht="15.75" customHeight="1">
      <c r="C966" s="4" t="n"/>
    </row>
    <row r="967" ht="15.75" customHeight="1">
      <c r="C967" s="4" t="n"/>
    </row>
    <row r="968" ht="15.75" customHeight="1">
      <c r="C968" s="4" t="n"/>
    </row>
    <row r="969" ht="15.75" customHeight="1">
      <c r="C969" s="4" t="n"/>
    </row>
    <row r="970" ht="15.75" customHeight="1">
      <c r="C970" s="4" t="n"/>
    </row>
    <row r="971" ht="15.75" customHeight="1">
      <c r="C971" s="4" t="n"/>
    </row>
    <row r="972" ht="15.75" customHeight="1">
      <c r="C972" s="4" t="n"/>
    </row>
    <row r="973" ht="15.75" customHeight="1">
      <c r="C973" s="4" t="n"/>
    </row>
    <row r="974" ht="15.75" customHeight="1">
      <c r="C974" s="4" t="n"/>
    </row>
    <row r="975" ht="15.75" customHeight="1">
      <c r="C975" s="4" t="n"/>
    </row>
    <row r="976" ht="15.75" customHeight="1">
      <c r="C976" s="4" t="n"/>
    </row>
    <row r="977" ht="15.75" customHeight="1">
      <c r="C977" s="4" t="n"/>
    </row>
    <row r="978" ht="15.75" customHeight="1">
      <c r="C978" s="4" t="n"/>
    </row>
    <row r="979" ht="15.75" customHeight="1">
      <c r="C979" s="4" t="n"/>
    </row>
    <row r="980" ht="15.75" customHeight="1">
      <c r="C980" s="4" t="n"/>
    </row>
    <row r="981" ht="15.75" customHeight="1">
      <c r="C981" s="4" t="n"/>
    </row>
    <row r="982" ht="15.75" customHeight="1">
      <c r="C982" s="4" t="n"/>
    </row>
    <row r="983" ht="15.75" customHeight="1">
      <c r="C983" s="4" t="n"/>
    </row>
    <row r="984" ht="15.75" customHeight="1">
      <c r="C984" s="4" t="n"/>
    </row>
    <row r="985" ht="15.75" customHeight="1">
      <c r="C985" s="4" t="n"/>
    </row>
    <row r="986" ht="15.75" customHeight="1">
      <c r="C986" s="4" t="n"/>
    </row>
    <row r="987" ht="15.75" customHeight="1">
      <c r="C987" s="4" t="n"/>
    </row>
    <row r="988" ht="15.75" customHeight="1">
      <c r="C988" s="4" t="n"/>
    </row>
    <row r="989" ht="15.75" customHeight="1">
      <c r="C989" s="4" t="n"/>
    </row>
    <row r="990" ht="15.75" customHeight="1">
      <c r="C990" s="4" t="n"/>
    </row>
    <row r="991" ht="15.75" customHeight="1">
      <c r="C991" s="4" t="n"/>
    </row>
    <row r="992" ht="15.75" customHeight="1">
      <c r="C992" s="4" t="n"/>
    </row>
    <row r="993" ht="15.75" customHeight="1">
      <c r="C993" s="4" t="n"/>
    </row>
    <row r="994" ht="15.75" customHeight="1">
      <c r="C994" s="4" t="n"/>
    </row>
    <row r="995" ht="15.75" customHeight="1">
      <c r="C995" s="4" t="n"/>
    </row>
    <row r="996" ht="15.75" customHeight="1">
      <c r="C996" s="4" t="n"/>
    </row>
    <row r="997" ht="15.75" customHeight="1">
      <c r="C997" s="4" t="n"/>
    </row>
    <row r="998" ht="15.75" customHeight="1">
      <c r="C998" s="4" t="n"/>
    </row>
    <row r="999" ht="15.75" customHeight="1">
      <c r="C999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topLeftCell="G1" workbookViewId="0">
      <selection activeCell="B7" sqref="B7"/>
    </sheetView>
  </sheetViews>
  <sheetFormatPr baseColWidth="8" defaultColWidth="12.6640625" defaultRowHeight="15" customHeight="1"/>
  <cols>
    <col width="3.9140625" customWidth="1" min="1" max="1"/>
    <col width="18.25" customWidth="1" min="2" max="2"/>
    <col width="19.6640625" bestFit="1" customWidth="1" min="3" max="3"/>
    <col width="9.08203125" customWidth="1" min="4" max="4"/>
    <col width="15.25" customWidth="1" min="5" max="8"/>
    <col width="17.6640625" customWidth="1" min="9" max="9"/>
    <col width="17.5" customWidth="1" min="10" max="10"/>
    <col width="18.83203125" customWidth="1" min="11" max="11"/>
    <col width="14.4140625" customWidth="1" min="12" max="31"/>
  </cols>
  <sheetData>
    <row r="1" ht="26" customHeight="1">
      <c r="B1" s="27" t="inlineStr">
        <is>
          <t>Fund Name &amp; Scheme</t>
        </is>
      </c>
      <c r="C1" s="27" t="inlineStr">
        <is>
          <t xml:space="preserve">Type (Direct Or Regular) </t>
        </is>
      </c>
      <c r="D1" s="27" t="inlineStr">
        <is>
          <t>Folio</t>
        </is>
      </c>
      <c r="E1" s="27" t="inlineStr">
        <is>
          <t>No Of Units</t>
        </is>
      </c>
      <c r="F1" s="27" t="inlineStr">
        <is>
          <t>Purchase Price</t>
        </is>
      </c>
      <c r="G1" s="27" t="inlineStr">
        <is>
          <t>Current NAV</t>
        </is>
      </c>
      <c r="H1" s="27" t="inlineStr">
        <is>
          <t>Current Value</t>
        </is>
      </c>
      <c r="I1" s="27" t="inlineStr">
        <is>
          <t>SIP Amount</t>
        </is>
      </c>
      <c r="J1" s="58" t="inlineStr">
        <is>
          <t xml:space="preserve">SIP Frequency (Monthly/Weekly etc) </t>
        </is>
      </c>
      <c r="K1" s="27" t="inlineStr">
        <is>
          <t>Optional Remarks /Comments</t>
        </is>
      </c>
    </row>
    <row r="2" ht="14" customHeight="1">
      <c r="B2" s="100" t="inlineStr">
        <is>
          <t xml:space="preserve">-  MIRAE ASSET MIDCAP FUND - REGULAR PLAN </t>
        </is>
      </c>
      <c r="C2" s="6" t="n"/>
      <c r="D2" s="60" t="n"/>
      <c r="E2" s="59" t="n"/>
      <c r="H2" s="60" t="n"/>
      <c r="I2" s="64" t="n"/>
      <c r="J2" s="102" t="inlineStr">
        <is>
          <t>Monthly</t>
        </is>
      </c>
      <c r="K2" s="103" t="inlineStr">
        <is>
          <t>NA</t>
        </is>
      </c>
    </row>
    <row r="3" ht="15" customHeight="1">
      <c r="B3" s="101" t="n"/>
      <c r="D3" s="60" t="n"/>
      <c r="E3" s="59" t="n"/>
      <c r="H3" s="60" t="n"/>
      <c r="I3" s="59" t="n"/>
      <c r="J3" s="102" t="n"/>
      <c r="K3" s="103" t="n"/>
    </row>
    <row r="4" ht="15" customHeight="1">
      <c r="B4" s="101" t="n"/>
      <c r="D4" s="60" t="n"/>
      <c r="E4" s="59" t="n"/>
      <c r="H4" s="60" t="n"/>
      <c r="I4" s="59" t="n"/>
      <c r="J4" s="102" t="n"/>
      <c r="K4" s="103" t="n"/>
    </row>
    <row r="5" ht="15" customHeight="1">
      <c r="B5" s="101" t="n"/>
      <c r="D5" s="60" t="n"/>
      <c r="E5" s="59" t="n"/>
      <c r="H5" s="60" t="n"/>
      <c r="I5" s="59" t="n"/>
      <c r="J5" s="102" t="n"/>
      <c r="K5" s="103" t="n"/>
    </row>
    <row r="6" ht="15" customHeight="1">
      <c r="B6" s="101" t="n"/>
      <c r="D6" s="60" t="n"/>
      <c r="E6" s="59" t="n"/>
      <c r="H6" s="60" t="n"/>
      <c r="I6" s="59" t="n"/>
      <c r="J6" s="102" t="n"/>
      <c r="K6" s="103" t="n"/>
    </row>
    <row r="7" ht="15" customHeight="1">
      <c r="B7" s="59" t="n"/>
      <c r="D7" s="60" t="n"/>
      <c r="E7" s="59" t="n"/>
      <c r="H7" s="60" t="n"/>
      <c r="I7" s="59" t="n"/>
      <c r="J7" s="60" t="n"/>
      <c r="K7" s="73" t="n"/>
    </row>
    <row r="8" ht="15" customHeight="1">
      <c r="B8" s="59" t="n"/>
      <c r="D8" s="60" t="n"/>
      <c r="E8" s="59" t="n"/>
      <c r="H8" s="60" t="n"/>
      <c r="I8" s="59" t="n"/>
      <c r="J8" s="60" t="n"/>
      <c r="K8" s="73" t="n"/>
    </row>
    <row r="9" ht="15" customHeight="1">
      <c r="B9" s="59" t="n"/>
      <c r="D9" s="60" t="n"/>
      <c r="E9" s="59" t="n"/>
      <c r="H9" s="60" t="n"/>
      <c r="I9" s="59" t="n"/>
      <c r="J9" s="60" t="n"/>
      <c r="K9" s="73" t="n"/>
    </row>
    <row r="10" ht="15" customHeight="1">
      <c r="B10" s="59" t="n"/>
      <c r="D10" s="60" t="n"/>
      <c r="E10" s="59" t="n"/>
      <c r="H10" s="60" t="n"/>
      <c r="I10" s="59" t="n"/>
      <c r="J10" s="60" t="n"/>
      <c r="K10" s="73" t="n"/>
    </row>
    <row r="11" ht="15" customHeight="1">
      <c r="B11" s="59" t="n"/>
      <c r="D11" s="60" t="n"/>
      <c r="E11" s="59" t="n"/>
      <c r="H11" s="60" t="n"/>
      <c r="I11" s="59" t="n"/>
      <c r="J11" s="60" t="n"/>
      <c r="K11" s="73" t="n"/>
    </row>
    <row r="12" ht="15" customHeight="1">
      <c r="B12" s="59" t="n"/>
      <c r="D12" s="60" t="n"/>
      <c r="E12" s="59" t="n"/>
      <c r="H12" s="60" t="n"/>
      <c r="I12" s="59" t="n"/>
      <c r="J12" s="60" t="n"/>
      <c r="K12" s="73" t="n"/>
    </row>
    <row r="13" ht="15" customHeight="1">
      <c r="B13" s="59" t="n"/>
      <c r="D13" s="60" t="n"/>
      <c r="E13" s="59" t="n"/>
      <c r="H13" s="60" t="n"/>
      <c r="I13" s="59" t="n"/>
      <c r="J13" s="60" t="n"/>
      <c r="K13" s="73" t="n"/>
    </row>
    <row r="14" ht="15" customHeight="1">
      <c r="B14" s="59" t="n"/>
      <c r="D14" s="60" t="n"/>
      <c r="E14" s="59" t="n"/>
      <c r="H14" s="60" t="n"/>
      <c r="I14" s="59" t="n"/>
      <c r="J14" s="60" t="n"/>
      <c r="K14" s="73" t="n"/>
    </row>
    <row r="15" ht="15" customHeight="1">
      <c r="B15" s="59" t="n"/>
      <c r="D15" s="60" t="n"/>
      <c r="E15" s="59" t="n"/>
      <c r="H15" s="60" t="n"/>
      <c r="I15" s="59" t="n"/>
      <c r="J15" s="60" t="n"/>
      <c r="K15" s="73" t="n"/>
    </row>
    <row r="16" ht="15" customHeight="1">
      <c r="B16" s="59" t="n"/>
      <c r="D16" s="60" t="n"/>
      <c r="E16" s="59" t="n"/>
      <c r="H16" s="60" t="n"/>
      <c r="I16" s="59" t="n"/>
      <c r="J16" s="60" t="n"/>
      <c r="K16" s="73" t="n"/>
    </row>
    <row r="17" ht="15" customHeight="1">
      <c r="B17" s="59" t="n"/>
      <c r="D17" s="60" t="n"/>
      <c r="E17" s="59" t="n"/>
      <c r="H17" s="60" t="n"/>
      <c r="I17" s="59" t="n"/>
      <c r="J17" s="60" t="n"/>
      <c r="K17" s="73" t="n"/>
    </row>
    <row r="18" ht="15" customHeight="1">
      <c r="B18" s="59" t="n"/>
      <c r="D18" s="60" t="n"/>
      <c r="E18" s="59" t="n"/>
      <c r="H18" s="60" t="n"/>
      <c r="I18" s="59" t="n"/>
      <c r="J18" s="60" t="n"/>
      <c r="K18" s="73" t="n"/>
    </row>
    <row r="19" ht="15" customHeight="1">
      <c r="B19" s="59" t="n"/>
      <c r="D19" s="60" t="n"/>
      <c r="E19" s="59" t="n"/>
      <c r="H19" s="60" t="n"/>
      <c r="I19" s="59" t="n"/>
      <c r="J19" s="60" t="n"/>
      <c r="K19" s="73" t="n"/>
    </row>
    <row r="20" ht="15" customHeight="1">
      <c r="B20" s="59" t="n"/>
      <c r="D20" s="60" t="n"/>
      <c r="E20" s="59" t="n"/>
      <c r="H20" s="60" t="n"/>
      <c r="I20" s="59" t="n"/>
      <c r="J20" s="60" t="n"/>
      <c r="K20" s="73" t="n"/>
    </row>
    <row r="21" ht="15" customHeight="1">
      <c r="B21" s="61" t="n"/>
      <c r="C21" s="62" t="n"/>
      <c r="D21" s="63" t="n"/>
      <c r="E21" s="61" t="n"/>
      <c r="F21" s="62" t="n"/>
      <c r="G21" s="62" t="n"/>
      <c r="H21" s="63" t="n"/>
      <c r="I21" s="61" t="n"/>
      <c r="J21" s="63" t="n"/>
      <c r="K21" s="73" t="n"/>
    </row>
    <row r="22" ht="15" customHeight="1">
      <c r="B22" s="81" t="n"/>
      <c r="C22" s="82" t="n"/>
      <c r="D22" s="83" t="n"/>
      <c r="E22" s="81" t="n"/>
      <c r="F22" s="82" t="n"/>
      <c r="G22" s="82" t="n"/>
      <c r="H22" s="83">
        <f>SUM(H2:H21)</f>
        <v/>
      </c>
      <c r="I22" s="83">
        <f>SUM(I2:I21)</f>
        <v/>
      </c>
      <c r="J22" s="83" t="n"/>
      <c r="K22" s="78" t="n"/>
    </row>
    <row r="23"/>
    <row r="24"/>
    <row r="25" ht="15.75" customHeight="1">
      <c r="B25" s="65" t="n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B7" sqref="B7"/>
    </sheetView>
  </sheetViews>
  <sheetFormatPr baseColWidth="8" defaultColWidth="12.6640625" defaultRowHeight="15" customHeight="1"/>
  <cols>
    <col width="3.9140625" customWidth="1" min="1" max="1"/>
    <col width="16.6640625" customWidth="1" min="2" max="3"/>
    <col width="14.4140625" customWidth="1" min="4" max="4"/>
    <col width="17.6640625" customWidth="1" min="5" max="6"/>
    <col width="15.58203125" bestFit="1" customWidth="1" min="7" max="7"/>
    <col width="26.1640625" customWidth="1" min="8" max="8"/>
    <col width="17.33203125" customWidth="1" min="9" max="9"/>
    <col width="8.75" customWidth="1" min="10" max="10"/>
    <col width="14.4140625" customWidth="1" min="11" max="30"/>
  </cols>
  <sheetData>
    <row r="1" ht="26" customHeight="1">
      <c r="B1" s="27" t="inlineStr">
        <is>
          <t>Stock Name</t>
        </is>
      </c>
      <c r="C1" s="27" t="inlineStr">
        <is>
          <t>Stock ISIN</t>
        </is>
      </c>
      <c r="D1" s="27" t="inlineStr">
        <is>
          <t>Quantity</t>
        </is>
      </c>
      <c r="E1" s="27" t="inlineStr">
        <is>
          <t xml:space="preserve">Current Price </t>
        </is>
      </c>
      <c r="F1" s="27" t="inlineStr">
        <is>
          <t>Current Value</t>
        </is>
      </c>
      <c r="G1" s="27" t="inlineStr">
        <is>
          <t>Purchase Cost Rate</t>
        </is>
      </c>
      <c r="H1" s="27" t="inlineStr">
        <is>
          <t>Long Term / Trading</t>
        </is>
      </c>
      <c r="I1" s="58" t="inlineStr">
        <is>
          <t>Optional Remarks /Comments</t>
        </is>
      </c>
    </row>
    <row r="2" ht="15" customHeight="1">
      <c r="B2" s="60" t="inlineStr">
        <is>
          <t xml:space="preserve">Ashok Leyland </t>
        </is>
      </c>
      <c r="D2" s="59" t="n"/>
      <c r="E2" s="362" t="n"/>
      <c r="F2" s="60" t="inlineStr">
        <is>
          <t>Neutral</t>
        </is>
      </c>
      <c r="G2" s="59" t="n"/>
      <c r="H2" s="60" t="n"/>
      <c r="I2" s="73" t="n"/>
    </row>
    <row r="3" ht="15" customHeight="1">
      <c r="B3" s="60" t="n"/>
      <c r="D3" s="59" t="n"/>
      <c r="E3" s="362" t="n"/>
      <c r="F3" s="60" t="n"/>
      <c r="G3" s="59" t="n"/>
      <c r="H3" s="60" t="n"/>
      <c r="I3" s="73" t="n"/>
    </row>
    <row r="4" ht="15" customHeight="1">
      <c r="B4" s="60" t="n"/>
      <c r="D4" s="59" t="n"/>
      <c r="E4" s="362" t="n"/>
      <c r="F4" s="60" t="n"/>
      <c r="G4" s="59" t="n"/>
      <c r="H4" s="60" t="n"/>
      <c r="I4" s="73" t="n"/>
    </row>
    <row r="5" ht="15" customHeight="1">
      <c r="B5" s="60" t="n"/>
      <c r="D5" s="59" t="n"/>
      <c r="E5" s="362" t="n"/>
      <c r="F5" s="60" t="n"/>
      <c r="G5" s="59" t="n"/>
      <c r="H5" s="60" t="n"/>
      <c r="I5" s="73" t="n"/>
    </row>
    <row r="6" ht="15" customHeight="1">
      <c r="B6" s="60" t="n"/>
      <c r="D6" s="59" t="n"/>
      <c r="E6" s="362" t="n"/>
      <c r="F6" s="60" t="n"/>
      <c r="G6" s="59" t="n"/>
      <c r="H6" s="60" t="n"/>
      <c r="I6" s="73" t="n"/>
    </row>
    <row r="7" ht="15" customHeight="1">
      <c r="B7" s="60" t="n"/>
      <c r="D7" s="59" t="n"/>
      <c r="E7" s="362" t="n"/>
      <c r="F7" s="60" t="n"/>
      <c r="G7" s="59" t="n"/>
      <c r="H7" s="60" t="n"/>
      <c r="I7" s="73" t="n"/>
    </row>
    <row r="8" ht="15" customHeight="1">
      <c r="B8" s="60" t="n"/>
      <c r="D8" s="59" t="n"/>
      <c r="E8" s="362" t="n"/>
      <c r="F8" s="60" t="n"/>
      <c r="G8" s="59" t="n"/>
      <c r="H8" s="60" t="n"/>
      <c r="I8" s="73" t="n"/>
    </row>
    <row r="9" ht="15" customHeight="1">
      <c r="B9" s="60" t="n"/>
      <c r="D9" s="59" t="n"/>
      <c r="E9" s="362" t="n"/>
      <c r="F9" s="60" t="n"/>
      <c r="G9" s="59" t="n"/>
      <c r="H9" s="60" t="n"/>
      <c r="I9" s="73" t="n"/>
    </row>
    <row r="10" ht="15" customHeight="1">
      <c r="B10" s="60" t="n"/>
      <c r="D10" s="59" t="n"/>
      <c r="E10" s="362" t="n"/>
      <c r="F10" s="60" t="n"/>
      <c r="G10" s="59" t="n"/>
      <c r="H10" s="60" t="n"/>
      <c r="I10" s="73" t="n"/>
    </row>
    <row r="11" ht="15" customHeight="1">
      <c r="B11" s="60" t="n"/>
      <c r="D11" s="59" t="n"/>
      <c r="E11" s="362" t="n"/>
      <c r="F11" s="60" t="n"/>
      <c r="G11" s="59" t="n"/>
      <c r="H11" s="60" t="n"/>
      <c r="I11" s="73" t="n"/>
    </row>
    <row r="12" ht="15" customHeight="1">
      <c r="B12" s="60" t="n"/>
      <c r="D12" s="59" t="n"/>
      <c r="E12" s="362" t="n"/>
      <c r="F12" s="60" t="n"/>
      <c r="G12" s="59" t="n"/>
      <c r="H12" s="60" t="n"/>
      <c r="I12" s="73" t="n"/>
    </row>
    <row r="13" ht="15" customHeight="1">
      <c r="B13" s="60" t="n"/>
      <c r="D13" s="59" t="n"/>
      <c r="E13" s="362" t="n"/>
      <c r="F13" s="60" t="n"/>
      <c r="G13" s="59" t="n"/>
      <c r="H13" s="60" t="n"/>
      <c r="I13" s="73" t="n"/>
    </row>
    <row r="14" ht="15" customHeight="1">
      <c r="B14" s="60" t="n"/>
      <c r="D14" s="59" t="n"/>
      <c r="E14" s="362" t="n"/>
      <c r="F14" s="60" t="n"/>
      <c r="G14" s="59" t="n"/>
      <c r="H14" s="60" t="n"/>
      <c r="I14" s="73" t="n"/>
    </row>
    <row r="15" ht="15" customHeight="1">
      <c r="B15" s="60" t="n"/>
      <c r="D15" s="59" t="n"/>
      <c r="E15" s="362" t="n"/>
      <c r="F15" s="60" t="n"/>
      <c r="G15" s="59" t="n"/>
      <c r="H15" s="60" t="n"/>
      <c r="I15" s="73" t="n"/>
    </row>
    <row r="16" ht="15" customHeight="1">
      <c r="B16" s="60" t="n"/>
      <c r="D16" s="59" t="n"/>
      <c r="E16" s="362" t="n"/>
      <c r="F16" s="60" t="n"/>
      <c r="G16" s="59" t="n"/>
      <c r="H16" s="60" t="n"/>
      <c r="I16" s="73" t="n"/>
    </row>
    <row r="17" ht="15" customHeight="1">
      <c r="B17" s="60" t="n"/>
      <c r="D17" s="59" t="n"/>
      <c r="E17" s="362" t="n"/>
      <c r="F17" s="60" t="n"/>
      <c r="G17" s="59" t="n"/>
      <c r="H17" s="60" t="n"/>
      <c r="I17" s="73" t="n"/>
    </row>
    <row r="18" ht="15" customHeight="1">
      <c r="B18" s="60" t="n"/>
      <c r="D18" s="59" t="n"/>
      <c r="E18" s="362" t="n"/>
      <c r="F18" s="60" t="n"/>
      <c r="G18" s="59" t="n"/>
      <c r="H18" s="60" t="n"/>
      <c r="I18" s="73" t="n"/>
    </row>
    <row r="19" ht="15" customHeight="1">
      <c r="B19" s="60" t="n"/>
      <c r="D19" s="59" t="n"/>
      <c r="E19" s="362" t="n"/>
      <c r="F19" s="60" t="n"/>
      <c r="G19" s="59" t="n"/>
      <c r="H19" s="60" t="n"/>
      <c r="I19" s="73" t="n"/>
    </row>
    <row r="20" ht="15" customHeight="1">
      <c r="B20" s="60" t="n"/>
      <c r="D20" s="59" t="n"/>
      <c r="E20" s="362" t="n"/>
      <c r="F20" s="60" t="n"/>
      <c r="G20" s="59" t="n"/>
      <c r="H20" s="60" t="n"/>
      <c r="I20" s="73" t="n"/>
    </row>
    <row r="21" ht="15" customHeight="1">
      <c r="B21" s="60" t="n"/>
      <c r="D21" s="59" t="n"/>
      <c r="E21" s="362" t="n"/>
      <c r="F21" s="60" t="n"/>
      <c r="G21" s="59" t="n"/>
      <c r="H21" s="60" t="n"/>
      <c r="I21" s="73" t="n"/>
    </row>
    <row r="22" ht="15" customHeight="1">
      <c r="B22" s="60" t="n"/>
      <c r="D22" s="59" t="n"/>
      <c r="E22" s="362" t="n"/>
      <c r="F22" s="60" t="n"/>
      <c r="G22" s="59" t="n"/>
      <c r="H22" s="60" t="n"/>
      <c r="I22" s="73" t="n"/>
    </row>
    <row r="23" ht="15" customHeight="1">
      <c r="B23" s="63" t="n"/>
      <c r="D23" s="61" t="n"/>
      <c r="E23" s="175" t="n"/>
      <c r="F23" s="63" t="n"/>
      <c r="G23" s="61" t="n"/>
      <c r="H23" s="63" t="n"/>
      <c r="I23" s="74" t="n"/>
    </row>
    <row r="24" ht="15" customHeight="1">
      <c r="B24" s="75" t="n"/>
      <c r="D24" s="76" t="n"/>
      <c r="E24" s="176">
        <f>SUM(E2:E23)</f>
        <v/>
      </c>
      <c r="F24" s="75" t="n"/>
      <c r="G24" s="76" t="n"/>
      <c r="H24" s="75" t="n"/>
      <c r="I24" s="75" t="n"/>
    </row>
    <row r="25"/>
    <row r="26" ht="15" customHeight="1">
      <c r="E26" s="150">
        <f>SUMIF(F$2:F$23,F26,E$2:E$23)</f>
        <v/>
      </c>
      <c r="F26" s="60" t="n"/>
    </row>
    <row r="27" ht="15" customHeight="1">
      <c r="E27" s="150">
        <f>SUMIF(F$2:F$23,F27,E$2:E$23)</f>
        <v/>
      </c>
      <c r="F27" s="60" t="n"/>
    </row>
    <row r="28" ht="15" customHeight="1">
      <c r="E28" s="150">
        <f>SUMIF(F$2:F$23,F28,E$2:E$23)</f>
        <v/>
      </c>
      <c r="F28" s="60" t="n"/>
    </row>
    <row r="29" ht="15.75" customHeight="1">
      <c r="E29" s="150">
        <f>SUM(E26:E28)</f>
        <v/>
      </c>
    </row>
    <row r="30" ht="15.75" customHeight="1">
      <c r="E30" s="150">
        <f>E24-E29</f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autoFilter ref="B1:I65"/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ySplit="1" topLeftCell="A2" activePane="bottomLeft" state="frozen"/>
      <selection activeCell="B7" sqref="B7"/>
      <selection pane="bottomLeft" activeCell="B7" sqref="B7"/>
    </sheetView>
  </sheetViews>
  <sheetFormatPr baseColWidth="8" defaultColWidth="12.6640625" defaultRowHeight="15" customHeight="1"/>
  <cols>
    <col width="4.08203125" customWidth="1" min="1" max="1"/>
    <col width="15" customWidth="1" min="2" max="2"/>
    <col width="19.6640625" bestFit="1" customWidth="1" min="3" max="3"/>
    <col width="14.6640625" customWidth="1" min="4" max="4"/>
    <col width="16" customWidth="1" min="5" max="5"/>
    <col width="16.83203125" customWidth="1" min="6" max="6"/>
    <col width="23.4140625" customWidth="1" min="7" max="7"/>
    <col width="8.75" customWidth="1" min="8" max="8"/>
    <col width="14.4140625" customWidth="1" min="9" max="28"/>
  </cols>
  <sheetData>
    <row r="1" ht="26" customHeight="1">
      <c r="B1" s="27" t="inlineStr">
        <is>
          <t>Instrument</t>
        </is>
      </c>
      <c r="C1" s="27" t="inlineStr">
        <is>
          <t>Details of Instrument</t>
        </is>
      </c>
      <c r="D1" s="27" t="inlineStr">
        <is>
          <t xml:space="preserve">Invested Amount (Not Mandatory) </t>
        </is>
      </c>
      <c r="E1" s="27" t="inlineStr">
        <is>
          <t>Current Value</t>
        </is>
      </c>
      <c r="F1" s="27" t="inlineStr">
        <is>
          <t>Maturity Date</t>
        </is>
      </c>
      <c r="G1" s="58" t="inlineStr">
        <is>
          <t>Optional Remarks /Comments</t>
        </is>
      </c>
    </row>
    <row r="2" ht="14.5" customHeight="1">
      <c r="B2" s="66" t="inlineStr">
        <is>
          <t>FD</t>
        </is>
      </c>
      <c r="C2" s="66" t="inlineStr">
        <is>
          <t>State Bank FD</t>
        </is>
      </c>
      <c r="D2" s="362" t="n"/>
      <c r="E2" s="362" t="n"/>
      <c r="F2" s="108" t="n"/>
      <c r="G2" s="51" t="n"/>
    </row>
    <row r="3" ht="14.5" customHeight="1">
      <c r="B3" s="66" t="n"/>
      <c r="C3" s="66" t="n"/>
      <c r="D3" s="362" t="n"/>
      <c r="E3" s="362">
        <f>D3*109%</f>
        <v/>
      </c>
      <c r="F3" s="108" t="n"/>
      <c r="G3" s="51" t="n"/>
    </row>
    <row r="4" ht="14.5" customHeight="1">
      <c r="B4" s="66" t="n"/>
      <c r="C4" s="66" t="n"/>
      <c r="D4" s="362" t="n"/>
      <c r="E4" s="362">
        <f>D4*1.5</f>
        <v/>
      </c>
      <c r="F4" s="108" t="n"/>
      <c r="G4" s="51" t="n"/>
    </row>
    <row r="5" ht="14.5" customHeight="1">
      <c r="B5" s="66" t="n"/>
      <c r="C5" s="66" t="n"/>
      <c r="D5" s="362" t="n"/>
      <c r="E5" s="362" t="n"/>
      <c r="F5" s="108" t="n"/>
      <c r="G5" s="51" t="n"/>
    </row>
    <row r="6" ht="14.5" customHeight="1">
      <c r="B6" s="66" t="n"/>
      <c r="C6" s="66" t="n"/>
      <c r="D6" s="362" t="n"/>
      <c r="E6" s="362" t="n"/>
      <c r="F6" s="108" t="n"/>
      <c r="G6" s="51" t="n"/>
    </row>
    <row r="7" ht="14.5" customHeight="1">
      <c r="B7" s="66" t="n"/>
      <c r="C7" s="66" t="n"/>
      <c r="D7" s="362" t="n"/>
      <c r="E7" s="362" t="n"/>
      <c r="F7" s="108" t="n"/>
      <c r="G7" s="51" t="n"/>
    </row>
    <row r="8" ht="14.5" customHeight="1">
      <c r="B8" s="66" t="n"/>
      <c r="C8" s="66" t="n"/>
      <c r="D8" s="362" t="n"/>
      <c r="E8" s="106">
        <f>400000/2</f>
        <v/>
      </c>
      <c r="F8" s="109" t="n"/>
      <c r="G8" s="51" t="n"/>
    </row>
    <row r="9" ht="14.5" customHeight="1">
      <c r="B9" s="66" t="n"/>
      <c r="C9" s="66" t="n"/>
      <c r="D9" s="362" t="n"/>
      <c r="E9" s="106" t="n"/>
      <c r="F9" s="109" t="n"/>
      <c r="G9" s="51" t="n"/>
    </row>
    <row r="10" ht="14" customHeight="1">
      <c r="B10" s="67" t="n"/>
      <c r="C10" s="67" t="n"/>
      <c r="D10" s="107">
        <f>SUM(D2:D9)</f>
        <v/>
      </c>
      <c r="E10" s="107">
        <f>SUM(E2:E9)</f>
        <v/>
      </c>
      <c r="F10" s="67" t="n"/>
      <c r="G10" s="67" t="n"/>
    </row>
    <row r="11" ht="14" customHeight="1">
      <c r="D11" s="4" t="n"/>
      <c r="E11" s="4" t="n"/>
    </row>
    <row r="12" ht="14" customHeight="1">
      <c r="A12" s="4" t="n"/>
      <c r="B12" s="4" t="n"/>
      <c r="C12" s="4" t="n"/>
      <c r="D12" s="4" t="n"/>
      <c r="E12" s="4" t="n"/>
    </row>
    <row r="13" ht="14" customHeight="1">
      <c r="D13" s="4" t="n"/>
      <c r="E13" s="4" t="n"/>
    </row>
    <row r="14" ht="14" customHeight="1">
      <c r="D14" s="4" t="n"/>
      <c r="E14" s="4" t="n"/>
    </row>
    <row r="15" ht="14" customHeight="1">
      <c r="D15" s="4" t="n"/>
      <c r="E15" s="4" t="n"/>
    </row>
    <row r="16" ht="14" customHeight="1">
      <c r="D16" s="4" t="n"/>
      <c r="E16" s="4" t="n"/>
    </row>
    <row r="17" ht="14" customHeight="1">
      <c r="D17" s="4" t="n"/>
      <c r="E17" s="4" t="n"/>
    </row>
    <row r="18" ht="14" customHeight="1">
      <c r="D18" s="4" t="n"/>
      <c r="E18" s="4" t="n"/>
    </row>
    <row r="19" ht="14" customHeight="1">
      <c r="D19" s="4" t="n"/>
      <c r="E19" s="4" t="n"/>
    </row>
    <row r="20" ht="14" customHeight="1">
      <c r="D20" s="4" t="n"/>
      <c r="E20" s="4" t="n"/>
    </row>
    <row r="21" ht="15.75" customHeight="1">
      <c r="D21" s="4" t="n"/>
      <c r="E21" s="4" t="n"/>
    </row>
    <row r="22" ht="15.75" customHeight="1">
      <c r="D22" s="4" t="n"/>
      <c r="E22" s="4" t="n"/>
    </row>
    <row r="23" ht="15.75" customHeight="1">
      <c r="D23" s="4" t="n"/>
      <c r="E23" s="4" t="n"/>
    </row>
    <row r="24" ht="15.75" customHeight="1">
      <c r="D24" s="4" t="n"/>
      <c r="E24" s="4" t="n"/>
    </row>
    <row r="25" ht="15.75" customHeight="1">
      <c r="D25" s="4" t="n"/>
      <c r="E25" s="4" t="n"/>
    </row>
    <row r="26" ht="15.75" customHeight="1">
      <c r="D26" s="4" t="n"/>
      <c r="E26" s="4" t="n"/>
    </row>
    <row r="27" ht="15.75" customHeight="1">
      <c r="D27" s="4" t="n"/>
      <c r="E27" s="4" t="n"/>
    </row>
    <row r="28" ht="15.75" customHeight="1">
      <c r="D28" s="4" t="n"/>
      <c r="E28" s="4" t="n"/>
    </row>
    <row r="29" ht="15.75" customHeight="1">
      <c r="D29" s="4" t="n"/>
      <c r="E29" s="4" t="n"/>
    </row>
    <row r="30" ht="15.75" customHeight="1">
      <c r="D30" s="4" t="n"/>
      <c r="E30" s="4" t="n"/>
    </row>
    <row r="31" ht="15.75" customHeight="1">
      <c r="D31" s="4" t="n"/>
      <c r="E31" s="4" t="n"/>
    </row>
    <row r="32" ht="15.75" customHeight="1">
      <c r="D32" s="4" t="n"/>
      <c r="E32" s="4" t="n"/>
    </row>
    <row r="33" ht="15.75" customHeight="1">
      <c r="D33" s="4" t="n"/>
      <c r="E33" s="4" t="n"/>
    </row>
    <row r="34" ht="15.75" customHeight="1">
      <c r="D34" s="4" t="n"/>
      <c r="E34" s="4" t="n"/>
    </row>
    <row r="35" ht="15.75" customHeight="1">
      <c r="D35" s="4" t="n"/>
      <c r="E35" s="4" t="n"/>
    </row>
    <row r="36" ht="15.75" customHeight="1">
      <c r="D36" s="4" t="n"/>
      <c r="E36" s="4" t="n"/>
    </row>
    <row r="37" ht="15.75" customHeight="1">
      <c r="D37" s="4" t="n"/>
      <c r="E37" s="4" t="n"/>
    </row>
    <row r="38" ht="15.75" customHeight="1">
      <c r="D38" s="4" t="n"/>
      <c r="E38" s="4" t="n"/>
    </row>
    <row r="39" ht="15.75" customHeight="1">
      <c r="D39" s="4" t="n"/>
      <c r="E39" s="4" t="n"/>
    </row>
    <row r="40" ht="15.75" customHeight="1">
      <c r="D40" s="4" t="n"/>
      <c r="E40" s="4" t="n"/>
    </row>
    <row r="41" ht="15.75" customHeight="1">
      <c r="D41" s="4" t="n"/>
      <c r="E41" s="4" t="n"/>
    </row>
    <row r="42" ht="15.75" customHeight="1">
      <c r="D42" s="4" t="n"/>
      <c r="E42" s="4" t="n"/>
    </row>
    <row r="43" ht="15.75" customHeight="1">
      <c r="D43" s="4" t="n"/>
      <c r="E43" s="4" t="n"/>
    </row>
    <row r="44" ht="15.75" customHeight="1">
      <c r="D44" s="4" t="n"/>
      <c r="E44" s="4" t="n"/>
    </row>
    <row r="45" ht="15.75" customHeight="1">
      <c r="D45" s="4" t="n"/>
      <c r="E45" s="4" t="n"/>
    </row>
    <row r="46" ht="15.75" customHeight="1">
      <c r="D46" s="4" t="n"/>
      <c r="E46" s="4" t="n"/>
    </row>
    <row r="47" ht="15.75" customHeight="1">
      <c r="D47" s="4" t="n"/>
      <c r="E47" s="4" t="n"/>
    </row>
    <row r="48" ht="15.75" customHeight="1">
      <c r="D48" s="4" t="n"/>
      <c r="E48" s="4" t="n"/>
    </row>
    <row r="49" ht="15.75" customHeight="1">
      <c r="D49" s="4" t="n"/>
      <c r="E49" s="4" t="n"/>
    </row>
    <row r="50" ht="15.75" customHeight="1">
      <c r="D50" s="4" t="n"/>
      <c r="E50" s="4" t="n"/>
    </row>
    <row r="51" ht="15.75" customHeight="1">
      <c r="D51" s="4" t="n"/>
      <c r="E51" s="4" t="n"/>
    </row>
    <row r="52" ht="15.75" customHeight="1">
      <c r="D52" s="4" t="n"/>
      <c r="E52" s="4" t="n"/>
    </row>
    <row r="53" ht="15.75" customHeight="1">
      <c r="D53" s="4" t="n"/>
      <c r="E53" s="4" t="n"/>
    </row>
    <row r="54" ht="15.75" customHeight="1">
      <c r="D54" s="4" t="n"/>
      <c r="E54" s="4" t="n"/>
    </row>
    <row r="55" ht="15.75" customHeight="1">
      <c r="D55" s="4" t="n"/>
      <c r="E55" s="4" t="n"/>
    </row>
    <row r="56" ht="15.75" customHeight="1">
      <c r="D56" s="4" t="n"/>
      <c r="E56" s="4" t="n"/>
    </row>
    <row r="57" ht="15.75" customHeight="1">
      <c r="D57" s="4" t="n"/>
      <c r="E57" s="4" t="n"/>
    </row>
    <row r="58" ht="15.75" customHeight="1">
      <c r="D58" s="4" t="n"/>
      <c r="E58" s="4" t="n"/>
    </row>
    <row r="59" ht="15.75" customHeight="1">
      <c r="D59" s="4" t="n"/>
      <c r="E59" s="4" t="n"/>
    </row>
    <row r="60" ht="15.75" customHeight="1">
      <c r="D60" s="4" t="n"/>
      <c r="E60" s="4" t="n"/>
    </row>
    <row r="61" ht="15.75" customHeight="1">
      <c r="D61" s="4" t="n"/>
      <c r="E61" s="4" t="n"/>
    </row>
    <row r="62" ht="15.75" customHeight="1">
      <c r="D62" s="4" t="n"/>
      <c r="E62" s="4" t="n"/>
    </row>
    <row r="63" ht="15.75" customHeight="1">
      <c r="D63" s="4" t="n"/>
      <c r="E63" s="4" t="n"/>
    </row>
    <row r="64" ht="15.75" customHeight="1">
      <c r="D64" s="4" t="n"/>
      <c r="E64" s="4" t="n"/>
    </row>
    <row r="65" ht="15.75" customHeight="1">
      <c r="D65" s="4" t="n"/>
      <c r="E65" s="4" t="n"/>
    </row>
    <row r="66" ht="15.75" customHeight="1">
      <c r="D66" s="4" t="n"/>
      <c r="E66" s="4" t="n"/>
    </row>
    <row r="67" ht="15.75" customHeight="1">
      <c r="D67" s="4" t="n"/>
      <c r="E67" s="4" t="n"/>
    </row>
    <row r="68" ht="15.75" customHeight="1">
      <c r="D68" s="4" t="n"/>
      <c r="E68" s="4" t="n"/>
    </row>
    <row r="69" ht="15.75" customHeight="1">
      <c r="D69" s="4" t="n"/>
      <c r="E69" s="4" t="n"/>
    </row>
    <row r="70" ht="15.75" customHeight="1">
      <c r="D70" s="4" t="n"/>
      <c r="E70" s="4" t="n"/>
    </row>
    <row r="71" ht="15.75" customHeight="1">
      <c r="D71" s="4" t="n"/>
      <c r="E71" s="4" t="n"/>
    </row>
    <row r="72" ht="15.75" customHeight="1">
      <c r="D72" s="4" t="n"/>
      <c r="E72" s="4" t="n"/>
    </row>
    <row r="73" ht="15.75" customHeight="1">
      <c r="D73" s="4" t="n"/>
      <c r="E73" s="4" t="n"/>
    </row>
    <row r="74" ht="15.75" customHeight="1">
      <c r="D74" s="4" t="n"/>
      <c r="E74" s="4" t="n"/>
    </row>
    <row r="75" ht="15.75" customHeight="1">
      <c r="D75" s="4" t="n"/>
      <c r="E75" s="4" t="n"/>
    </row>
    <row r="76" ht="15.75" customHeight="1">
      <c r="D76" s="4" t="n"/>
      <c r="E76" s="4" t="n"/>
    </row>
    <row r="77" ht="15.75" customHeight="1">
      <c r="D77" s="4" t="n"/>
      <c r="E77" s="4" t="n"/>
    </row>
    <row r="78" ht="15.75" customHeight="1">
      <c r="D78" s="4" t="n"/>
      <c r="E78" s="4" t="n"/>
    </row>
    <row r="79" ht="15.75" customHeight="1">
      <c r="D79" s="4" t="n"/>
      <c r="E79" s="4" t="n"/>
    </row>
    <row r="80" ht="15.75" customHeight="1">
      <c r="D80" s="4" t="n"/>
      <c r="E80" s="4" t="n"/>
    </row>
    <row r="81" ht="15.75" customHeight="1">
      <c r="D81" s="4" t="n"/>
      <c r="E81" s="4" t="n"/>
    </row>
    <row r="82" ht="15.75" customHeight="1">
      <c r="D82" s="4" t="n"/>
      <c r="E82" s="4" t="n"/>
    </row>
    <row r="83" ht="15.75" customHeight="1">
      <c r="D83" s="4" t="n"/>
      <c r="E83" s="4" t="n"/>
    </row>
    <row r="84" ht="15.75" customHeight="1">
      <c r="D84" s="4" t="n"/>
      <c r="E84" s="4" t="n"/>
    </row>
    <row r="85" ht="15.75" customHeight="1">
      <c r="D85" s="4" t="n"/>
      <c r="E85" s="4" t="n"/>
    </row>
    <row r="86" ht="15.75" customHeight="1">
      <c r="D86" s="4" t="n"/>
      <c r="E86" s="4" t="n"/>
    </row>
    <row r="87" ht="15.75" customHeight="1">
      <c r="D87" s="4" t="n"/>
      <c r="E87" s="4" t="n"/>
    </row>
    <row r="88" ht="15.75" customHeight="1">
      <c r="D88" s="4" t="n"/>
      <c r="E88" s="4" t="n"/>
    </row>
    <row r="89" ht="15.75" customHeight="1">
      <c r="D89" s="4" t="n"/>
      <c r="E89" s="4" t="n"/>
    </row>
    <row r="90" ht="15.75" customHeight="1">
      <c r="D90" s="4" t="n"/>
      <c r="E90" s="4" t="n"/>
    </row>
    <row r="91" ht="15.75" customHeight="1">
      <c r="D91" s="4" t="n"/>
      <c r="E91" s="4" t="n"/>
    </row>
    <row r="92" ht="15.75" customHeight="1">
      <c r="D92" s="4" t="n"/>
      <c r="E92" s="4" t="n"/>
    </row>
    <row r="93" ht="15.75" customHeight="1">
      <c r="D93" s="4" t="n"/>
      <c r="E93" s="4" t="n"/>
    </row>
    <row r="94" ht="15.75" customHeight="1">
      <c r="D94" s="4" t="n"/>
      <c r="E94" s="4" t="n"/>
    </row>
    <row r="95" ht="15.75" customHeight="1">
      <c r="D95" s="4" t="n"/>
      <c r="E95" s="4" t="n"/>
    </row>
    <row r="96" ht="15.75" customHeight="1">
      <c r="D96" s="4" t="n"/>
      <c r="E96" s="4" t="n"/>
    </row>
    <row r="97" ht="15.75" customHeight="1">
      <c r="D97" s="4" t="n"/>
      <c r="E97" s="4" t="n"/>
    </row>
    <row r="98" ht="15.75" customHeight="1">
      <c r="D98" s="4" t="n"/>
      <c r="E98" s="4" t="n"/>
    </row>
    <row r="99" ht="15.75" customHeight="1">
      <c r="D99" s="4" t="n"/>
      <c r="E99" s="4" t="n"/>
    </row>
    <row r="100" ht="15.75" customHeight="1">
      <c r="D100" s="4" t="n"/>
      <c r="E100" s="4" t="n"/>
    </row>
    <row r="101" ht="15.75" customHeight="1">
      <c r="D101" s="4" t="n"/>
      <c r="E101" s="4" t="n"/>
    </row>
    <row r="102" ht="15.75" customHeight="1">
      <c r="D102" s="4" t="n"/>
      <c r="E102" s="4" t="n"/>
    </row>
    <row r="103" ht="15.75" customHeight="1">
      <c r="D103" s="4" t="n"/>
      <c r="E103" s="4" t="n"/>
    </row>
    <row r="104" ht="15.75" customHeight="1">
      <c r="D104" s="4" t="n"/>
      <c r="E104" s="4" t="n"/>
    </row>
    <row r="105" ht="15.75" customHeight="1">
      <c r="D105" s="4" t="n"/>
      <c r="E105" s="4" t="n"/>
    </row>
    <row r="106" ht="15.75" customHeight="1">
      <c r="D106" s="4" t="n"/>
      <c r="E106" s="4" t="n"/>
    </row>
    <row r="107" ht="15.75" customHeight="1">
      <c r="D107" s="4" t="n"/>
      <c r="E107" s="4" t="n"/>
    </row>
    <row r="108" ht="15.75" customHeight="1">
      <c r="D108" s="4" t="n"/>
      <c r="E108" s="4" t="n"/>
    </row>
    <row r="109" ht="15.75" customHeight="1">
      <c r="D109" s="4" t="n"/>
      <c r="E109" s="4" t="n"/>
    </row>
    <row r="110" ht="15.75" customHeight="1">
      <c r="D110" s="4" t="n"/>
      <c r="E110" s="4" t="n"/>
    </row>
    <row r="111" ht="15.75" customHeight="1">
      <c r="D111" s="4" t="n"/>
      <c r="E111" s="4" t="n"/>
    </row>
    <row r="112" ht="15.75" customHeight="1">
      <c r="D112" s="4" t="n"/>
      <c r="E112" s="4" t="n"/>
    </row>
    <row r="113" ht="15.75" customHeight="1">
      <c r="D113" s="4" t="n"/>
      <c r="E113" s="4" t="n"/>
    </row>
    <row r="114" ht="15.75" customHeight="1">
      <c r="D114" s="4" t="n"/>
      <c r="E114" s="4" t="n"/>
    </row>
    <row r="115" ht="15.75" customHeight="1">
      <c r="D115" s="4" t="n"/>
      <c r="E115" s="4" t="n"/>
    </row>
    <row r="116" ht="15.75" customHeight="1">
      <c r="D116" s="4" t="n"/>
      <c r="E116" s="4" t="n"/>
    </row>
    <row r="117" ht="15.75" customHeight="1">
      <c r="D117" s="4" t="n"/>
      <c r="E117" s="4" t="n"/>
    </row>
    <row r="118" ht="15.75" customHeight="1">
      <c r="D118" s="4" t="n"/>
      <c r="E118" s="4" t="n"/>
    </row>
    <row r="119" ht="15.75" customHeight="1">
      <c r="D119" s="4" t="n"/>
      <c r="E119" s="4" t="n"/>
    </row>
    <row r="120" ht="15.75" customHeight="1">
      <c r="D120" s="4" t="n"/>
      <c r="E120" s="4" t="n"/>
    </row>
    <row r="121" ht="15.75" customHeight="1">
      <c r="D121" s="4" t="n"/>
      <c r="E121" s="4" t="n"/>
    </row>
    <row r="122" ht="15.75" customHeight="1">
      <c r="D122" s="4" t="n"/>
      <c r="E122" s="4" t="n"/>
    </row>
    <row r="123" ht="15.75" customHeight="1">
      <c r="D123" s="4" t="n"/>
      <c r="E123" s="4" t="n"/>
    </row>
    <row r="124" ht="15.75" customHeight="1">
      <c r="D124" s="4" t="n"/>
      <c r="E124" s="4" t="n"/>
    </row>
    <row r="125" ht="15.75" customHeight="1">
      <c r="D125" s="4" t="n"/>
      <c r="E125" s="4" t="n"/>
    </row>
    <row r="126" ht="15.75" customHeight="1">
      <c r="D126" s="4" t="n"/>
      <c r="E126" s="4" t="n"/>
    </row>
    <row r="127" ht="15.75" customHeight="1">
      <c r="D127" s="4" t="n"/>
      <c r="E127" s="4" t="n"/>
    </row>
    <row r="128" ht="15.75" customHeight="1">
      <c r="D128" s="4" t="n"/>
      <c r="E128" s="4" t="n"/>
    </row>
    <row r="129" ht="15.75" customHeight="1">
      <c r="D129" s="4" t="n"/>
      <c r="E129" s="4" t="n"/>
    </row>
    <row r="130" ht="15.75" customHeight="1">
      <c r="D130" s="4" t="n"/>
      <c r="E130" s="4" t="n"/>
    </row>
    <row r="131" ht="15.75" customHeight="1">
      <c r="D131" s="4" t="n"/>
      <c r="E131" s="4" t="n"/>
    </row>
    <row r="132" ht="15.75" customHeight="1">
      <c r="D132" s="4" t="n"/>
      <c r="E132" s="4" t="n"/>
    </row>
    <row r="133" ht="15.75" customHeight="1">
      <c r="D133" s="4" t="n"/>
      <c r="E133" s="4" t="n"/>
    </row>
    <row r="134" ht="15.75" customHeight="1">
      <c r="D134" s="4" t="n"/>
      <c r="E134" s="4" t="n"/>
    </row>
    <row r="135" ht="15.75" customHeight="1">
      <c r="D135" s="4" t="n"/>
      <c r="E135" s="4" t="n"/>
    </row>
    <row r="136" ht="15.75" customHeight="1">
      <c r="D136" s="4" t="n"/>
      <c r="E136" s="4" t="n"/>
    </row>
    <row r="137" ht="15.75" customHeight="1">
      <c r="D137" s="4" t="n"/>
      <c r="E137" s="4" t="n"/>
    </row>
    <row r="138" ht="15.75" customHeight="1">
      <c r="D138" s="4" t="n"/>
      <c r="E138" s="4" t="n"/>
    </row>
    <row r="139" ht="15.75" customHeight="1">
      <c r="D139" s="4" t="n"/>
      <c r="E139" s="4" t="n"/>
    </row>
    <row r="140" ht="15.75" customHeight="1">
      <c r="D140" s="4" t="n"/>
      <c r="E140" s="4" t="n"/>
    </row>
    <row r="141" ht="15.75" customHeight="1">
      <c r="D141" s="4" t="n"/>
      <c r="E141" s="4" t="n"/>
    </row>
    <row r="142" ht="15.75" customHeight="1">
      <c r="D142" s="4" t="n"/>
      <c r="E142" s="4" t="n"/>
    </row>
    <row r="143" ht="15.75" customHeight="1">
      <c r="D143" s="4" t="n"/>
      <c r="E143" s="4" t="n"/>
    </row>
    <row r="144" ht="15.75" customHeight="1">
      <c r="D144" s="4" t="n"/>
      <c r="E144" s="4" t="n"/>
    </row>
    <row r="145" ht="15.75" customHeight="1">
      <c r="D145" s="4" t="n"/>
      <c r="E145" s="4" t="n"/>
    </row>
    <row r="146" ht="15.75" customHeight="1">
      <c r="D146" s="4" t="n"/>
      <c r="E146" s="4" t="n"/>
    </row>
    <row r="147" ht="15.75" customHeight="1">
      <c r="D147" s="4" t="n"/>
      <c r="E147" s="4" t="n"/>
    </row>
    <row r="148" ht="15.75" customHeight="1">
      <c r="D148" s="4" t="n"/>
      <c r="E148" s="4" t="n"/>
    </row>
    <row r="149" ht="15.75" customHeight="1">
      <c r="D149" s="4" t="n"/>
      <c r="E149" s="4" t="n"/>
    </row>
    <row r="150" ht="15.75" customHeight="1">
      <c r="D150" s="4" t="n"/>
      <c r="E150" s="4" t="n"/>
    </row>
    <row r="151" ht="15.75" customHeight="1">
      <c r="D151" s="4" t="n"/>
      <c r="E151" s="4" t="n"/>
    </row>
    <row r="152" ht="15.75" customHeight="1">
      <c r="D152" s="4" t="n"/>
      <c r="E152" s="4" t="n"/>
    </row>
    <row r="153" ht="15.75" customHeight="1">
      <c r="D153" s="4" t="n"/>
      <c r="E153" s="4" t="n"/>
    </row>
    <row r="154" ht="15.75" customHeight="1">
      <c r="D154" s="4" t="n"/>
      <c r="E154" s="4" t="n"/>
    </row>
    <row r="155" ht="15.75" customHeight="1">
      <c r="D155" s="4" t="n"/>
      <c r="E155" s="4" t="n"/>
    </row>
    <row r="156" ht="15.75" customHeight="1">
      <c r="D156" s="4" t="n"/>
      <c r="E156" s="4" t="n"/>
    </row>
    <row r="157" ht="15.75" customHeight="1">
      <c r="D157" s="4" t="n"/>
      <c r="E157" s="4" t="n"/>
    </row>
    <row r="158" ht="15.75" customHeight="1">
      <c r="D158" s="4" t="n"/>
      <c r="E158" s="4" t="n"/>
    </row>
    <row r="159" ht="15.75" customHeight="1">
      <c r="D159" s="4" t="n"/>
      <c r="E159" s="4" t="n"/>
    </row>
    <row r="160" ht="15.75" customHeight="1">
      <c r="D160" s="4" t="n"/>
      <c r="E160" s="4" t="n"/>
    </row>
    <row r="161" ht="15.75" customHeight="1">
      <c r="D161" s="4" t="n"/>
      <c r="E161" s="4" t="n"/>
    </row>
    <row r="162" ht="15.75" customHeight="1">
      <c r="D162" s="4" t="n"/>
      <c r="E162" s="4" t="n"/>
    </row>
    <row r="163" ht="15.75" customHeight="1">
      <c r="D163" s="4" t="n"/>
      <c r="E163" s="4" t="n"/>
    </row>
    <row r="164" ht="15.75" customHeight="1">
      <c r="D164" s="4" t="n"/>
      <c r="E164" s="4" t="n"/>
    </row>
    <row r="165" ht="15.75" customHeight="1">
      <c r="D165" s="4" t="n"/>
      <c r="E165" s="4" t="n"/>
    </row>
    <row r="166" ht="15.75" customHeight="1">
      <c r="D166" s="4" t="n"/>
      <c r="E166" s="4" t="n"/>
    </row>
    <row r="167" ht="15.75" customHeight="1">
      <c r="D167" s="4" t="n"/>
      <c r="E167" s="4" t="n"/>
    </row>
    <row r="168" ht="15.75" customHeight="1">
      <c r="D168" s="4" t="n"/>
      <c r="E168" s="4" t="n"/>
    </row>
    <row r="169" ht="15.75" customHeight="1">
      <c r="D169" s="4" t="n"/>
      <c r="E169" s="4" t="n"/>
    </row>
    <row r="170" ht="15.75" customHeight="1">
      <c r="D170" s="4" t="n"/>
      <c r="E170" s="4" t="n"/>
    </row>
    <row r="171" ht="15.75" customHeight="1">
      <c r="D171" s="4" t="n"/>
      <c r="E171" s="4" t="n"/>
    </row>
    <row r="172" ht="15.75" customHeight="1">
      <c r="D172" s="4" t="n"/>
      <c r="E172" s="4" t="n"/>
    </row>
    <row r="173" ht="15.75" customHeight="1">
      <c r="D173" s="4" t="n"/>
      <c r="E173" s="4" t="n"/>
    </row>
    <row r="174" ht="15.75" customHeight="1">
      <c r="D174" s="4" t="n"/>
      <c r="E174" s="4" t="n"/>
    </row>
    <row r="175" ht="15.75" customHeight="1">
      <c r="D175" s="4" t="n"/>
      <c r="E175" s="4" t="n"/>
    </row>
    <row r="176" ht="15.75" customHeight="1">
      <c r="D176" s="4" t="n"/>
      <c r="E176" s="4" t="n"/>
    </row>
    <row r="177" ht="15.75" customHeight="1">
      <c r="D177" s="4" t="n"/>
      <c r="E177" s="4" t="n"/>
    </row>
    <row r="178" ht="15.75" customHeight="1">
      <c r="D178" s="4" t="n"/>
      <c r="E178" s="4" t="n"/>
    </row>
    <row r="179" ht="15.75" customHeight="1">
      <c r="D179" s="4" t="n"/>
      <c r="E179" s="4" t="n"/>
    </row>
    <row r="180" ht="15.75" customHeight="1">
      <c r="D180" s="4" t="n"/>
      <c r="E180" s="4" t="n"/>
    </row>
    <row r="181" ht="15.75" customHeight="1">
      <c r="D181" s="4" t="n"/>
      <c r="E181" s="4" t="n"/>
    </row>
    <row r="182" ht="15.75" customHeight="1">
      <c r="D182" s="4" t="n"/>
      <c r="E182" s="4" t="n"/>
    </row>
    <row r="183" ht="15.75" customHeight="1">
      <c r="D183" s="4" t="n"/>
      <c r="E183" s="4" t="n"/>
    </row>
    <row r="184" ht="15.75" customHeight="1">
      <c r="D184" s="4" t="n"/>
      <c r="E184" s="4" t="n"/>
    </row>
    <row r="185" ht="15.75" customHeight="1">
      <c r="D185" s="4" t="n"/>
      <c r="E185" s="4" t="n"/>
    </row>
    <row r="186" ht="15.75" customHeight="1">
      <c r="D186" s="4" t="n"/>
      <c r="E186" s="4" t="n"/>
    </row>
    <row r="187" ht="15.75" customHeight="1">
      <c r="D187" s="4" t="n"/>
      <c r="E187" s="4" t="n"/>
    </row>
    <row r="188" ht="15.75" customHeight="1">
      <c r="D188" s="4" t="n"/>
      <c r="E188" s="4" t="n"/>
    </row>
    <row r="189" ht="15.75" customHeight="1">
      <c r="D189" s="4" t="n"/>
      <c r="E189" s="4" t="n"/>
    </row>
    <row r="190" ht="15.75" customHeight="1">
      <c r="D190" s="4" t="n"/>
      <c r="E190" s="4" t="n"/>
    </row>
    <row r="191" ht="15.75" customHeight="1">
      <c r="D191" s="4" t="n"/>
      <c r="E191" s="4" t="n"/>
    </row>
    <row r="192" ht="15.75" customHeight="1">
      <c r="D192" s="4" t="n"/>
      <c r="E192" s="4" t="n"/>
    </row>
    <row r="193" ht="15.75" customHeight="1">
      <c r="D193" s="4" t="n"/>
      <c r="E193" s="4" t="n"/>
    </row>
    <row r="194" ht="15.75" customHeight="1">
      <c r="D194" s="4" t="n"/>
      <c r="E194" s="4" t="n"/>
    </row>
    <row r="195" ht="15.75" customHeight="1">
      <c r="D195" s="4" t="n"/>
      <c r="E195" s="4" t="n"/>
    </row>
    <row r="196" ht="15.75" customHeight="1">
      <c r="D196" s="4" t="n"/>
      <c r="E196" s="4" t="n"/>
    </row>
    <row r="197" ht="15.75" customHeight="1">
      <c r="D197" s="4" t="n"/>
      <c r="E197" s="4" t="n"/>
    </row>
    <row r="198" ht="15.75" customHeight="1">
      <c r="D198" s="4" t="n"/>
      <c r="E198" s="4" t="n"/>
    </row>
    <row r="199" ht="15.75" customHeight="1">
      <c r="D199" s="4" t="n"/>
      <c r="E199" s="4" t="n"/>
    </row>
    <row r="200" ht="15.75" customHeight="1">
      <c r="D200" s="4" t="n"/>
      <c r="E200" s="4" t="n"/>
    </row>
    <row r="201" ht="15.75" customHeight="1">
      <c r="D201" s="4" t="n"/>
      <c r="E201" s="4" t="n"/>
    </row>
    <row r="202" ht="15.75" customHeight="1">
      <c r="D202" s="4" t="n"/>
      <c r="E202" s="4" t="n"/>
    </row>
    <row r="203" ht="15.75" customHeight="1">
      <c r="D203" s="4" t="n"/>
      <c r="E203" s="4" t="n"/>
    </row>
    <row r="204" ht="15.75" customHeight="1">
      <c r="D204" s="4" t="n"/>
      <c r="E204" s="4" t="n"/>
    </row>
    <row r="205" ht="15.75" customHeight="1">
      <c r="D205" s="4" t="n"/>
      <c r="E205" s="4" t="n"/>
    </row>
    <row r="206" ht="15.75" customHeight="1">
      <c r="D206" s="4" t="n"/>
      <c r="E206" s="4" t="n"/>
    </row>
    <row r="207" ht="15.75" customHeight="1">
      <c r="D207" s="4" t="n"/>
      <c r="E207" s="4" t="n"/>
    </row>
    <row r="208" ht="15.75" customHeight="1">
      <c r="D208" s="4" t="n"/>
      <c r="E208" s="4" t="n"/>
    </row>
    <row r="209" ht="15.75" customHeight="1">
      <c r="D209" s="4" t="n"/>
      <c r="E209" s="4" t="n"/>
    </row>
    <row r="210" ht="15.75" customHeight="1">
      <c r="D210" s="4" t="n"/>
      <c r="E210" s="4" t="n"/>
    </row>
    <row r="211" ht="15.75" customHeight="1">
      <c r="D211" s="4" t="n"/>
      <c r="E211" s="4" t="n"/>
    </row>
    <row r="212" ht="15.75" customHeight="1">
      <c r="D212" s="4" t="n"/>
      <c r="E212" s="4" t="n"/>
    </row>
    <row r="213" ht="15.75" customHeight="1">
      <c r="D213" s="4" t="n"/>
      <c r="E213" s="4" t="n"/>
    </row>
    <row r="214" ht="15.75" customHeight="1">
      <c r="D214" s="4" t="n"/>
      <c r="E214" s="4" t="n"/>
    </row>
    <row r="215" ht="15.75" customHeight="1">
      <c r="D215" s="4" t="n"/>
      <c r="E215" s="4" t="n"/>
    </row>
    <row r="216" ht="15.75" customHeight="1">
      <c r="D216" s="4" t="n"/>
      <c r="E216" s="4" t="n"/>
    </row>
    <row r="217" ht="15.75" customHeight="1">
      <c r="D217" s="4" t="n"/>
      <c r="E217" s="4" t="n"/>
    </row>
    <row r="218" ht="15.75" customHeight="1">
      <c r="D218" s="4" t="n"/>
      <c r="E218" s="4" t="n"/>
    </row>
    <row r="219" ht="15.75" customHeight="1">
      <c r="D219" s="4" t="n"/>
      <c r="E219" s="4" t="n"/>
    </row>
    <row r="220" ht="15.75" customHeight="1">
      <c r="D220" s="4" t="n"/>
      <c r="E220" s="4" t="n"/>
    </row>
    <row r="221" ht="15.75" customHeight="1">
      <c r="D221" s="4" t="n"/>
      <c r="E221" s="4" t="n"/>
    </row>
    <row r="222" ht="15.75" customHeight="1">
      <c r="D222" s="4" t="n"/>
      <c r="E222" s="4" t="n"/>
    </row>
    <row r="223" ht="15.75" customHeight="1">
      <c r="D223" s="4" t="n"/>
      <c r="E223" s="4" t="n"/>
    </row>
    <row r="224" ht="15.75" customHeight="1">
      <c r="D224" s="4" t="n"/>
      <c r="E224" s="4" t="n"/>
    </row>
    <row r="225" ht="15.75" customHeight="1">
      <c r="D225" s="4" t="n"/>
      <c r="E225" s="4" t="n"/>
    </row>
    <row r="226" ht="15.75" customHeight="1">
      <c r="D226" s="4" t="n"/>
      <c r="E226" s="4" t="n"/>
    </row>
    <row r="227" ht="15.75" customHeight="1">
      <c r="D227" s="4" t="n"/>
      <c r="E227" s="4" t="n"/>
    </row>
    <row r="228" ht="15.75" customHeight="1">
      <c r="D228" s="4" t="n"/>
      <c r="E228" s="4" t="n"/>
    </row>
    <row r="229" ht="15.75" customHeight="1">
      <c r="D229" s="4" t="n"/>
      <c r="E229" s="4" t="n"/>
    </row>
    <row r="230" ht="15.75" customHeight="1">
      <c r="D230" s="4" t="n"/>
      <c r="E230" s="4" t="n"/>
    </row>
    <row r="231" ht="15.75" customHeight="1">
      <c r="D231" s="4" t="n"/>
      <c r="E231" s="4" t="n"/>
    </row>
    <row r="232" ht="15.75" customHeight="1">
      <c r="D232" s="4" t="n"/>
      <c r="E232" s="4" t="n"/>
    </row>
    <row r="233" ht="15.75" customHeight="1">
      <c r="D233" s="4" t="n"/>
      <c r="E233" s="4" t="n"/>
    </row>
    <row r="234" ht="15.75" customHeight="1">
      <c r="D234" s="4" t="n"/>
      <c r="E234" s="4" t="n"/>
    </row>
    <row r="235" ht="15.75" customHeight="1">
      <c r="D235" s="4" t="n"/>
      <c r="E235" s="4" t="n"/>
    </row>
    <row r="236" ht="15.75" customHeight="1">
      <c r="D236" s="4" t="n"/>
      <c r="E236" s="4" t="n"/>
    </row>
    <row r="237" ht="15.75" customHeight="1">
      <c r="D237" s="4" t="n"/>
      <c r="E237" s="4" t="n"/>
    </row>
    <row r="238" ht="15.75" customHeight="1">
      <c r="D238" s="4" t="n"/>
      <c r="E238" s="4" t="n"/>
    </row>
    <row r="239" ht="15.75" customHeight="1">
      <c r="D239" s="4" t="n"/>
      <c r="E239" s="4" t="n"/>
    </row>
    <row r="240" ht="15.75" customHeight="1">
      <c r="D240" s="4" t="n"/>
      <c r="E240" s="4" t="n"/>
    </row>
    <row r="241" ht="15.75" customHeight="1">
      <c r="D241" s="4" t="n"/>
      <c r="E241" s="4" t="n"/>
    </row>
    <row r="242" ht="15.75" customHeight="1">
      <c r="D242" s="4" t="n"/>
      <c r="E242" s="4" t="n"/>
    </row>
    <row r="243" ht="15.75" customHeight="1">
      <c r="D243" s="4" t="n"/>
      <c r="E243" s="4" t="n"/>
    </row>
    <row r="244" ht="15.75" customHeight="1">
      <c r="D244" s="4" t="n"/>
      <c r="E244" s="4" t="n"/>
    </row>
    <row r="245" ht="15.75" customHeight="1">
      <c r="D245" s="4" t="n"/>
      <c r="E245" s="4" t="n"/>
    </row>
    <row r="246" ht="15.75" customHeight="1">
      <c r="D246" s="4" t="n"/>
      <c r="E246" s="4" t="n"/>
    </row>
    <row r="247" ht="15.75" customHeight="1">
      <c r="D247" s="4" t="n"/>
      <c r="E247" s="4" t="n"/>
    </row>
    <row r="248" ht="15.75" customHeight="1">
      <c r="D248" s="4" t="n"/>
      <c r="E248" s="4" t="n"/>
    </row>
    <row r="249" ht="15.75" customHeight="1">
      <c r="D249" s="4" t="n"/>
      <c r="E249" s="4" t="n"/>
    </row>
    <row r="250" ht="15.75" customHeight="1">
      <c r="D250" s="4" t="n"/>
      <c r="E250" s="4" t="n"/>
    </row>
    <row r="251" ht="15.75" customHeight="1">
      <c r="D251" s="4" t="n"/>
      <c r="E251" s="4" t="n"/>
    </row>
    <row r="252" ht="15.75" customHeight="1">
      <c r="D252" s="4" t="n"/>
      <c r="E252" s="4" t="n"/>
    </row>
    <row r="253" ht="15.75" customHeight="1">
      <c r="D253" s="4" t="n"/>
      <c r="E253" s="4" t="n"/>
    </row>
    <row r="254" ht="15.75" customHeight="1">
      <c r="D254" s="4" t="n"/>
      <c r="E254" s="4" t="n"/>
    </row>
    <row r="255" ht="15.75" customHeight="1">
      <c r="D255" s="4" t="n"/>
      <c r="E255" s="4" t="n"/>
    </row>
    <row r="256" ht="15.75" customHeight="1">
      <c r="D256" s="4" t="n"/>
      <c r="E256" s="4" t="n"/>
    </row>
    <row r="257" ht="15.75" customHeight="1">
      <c r="D257" s="4" t="n"/>
      <c r="E257" s="4" t="n"/>
    </row>
    <row r="258" ht="15.75" customHeight="1">
      <c r="D258" s="4" t="n"/>
      <c r="E258" s="4" t="n"/>
    </row>
    <row r="259" ht="15.75" customHeight="1">
      <c r="D259" s="4" t="n"/>
      <c r="E259" s="4" t="n"/>
    </row>
    <row r="260" ht="15.75" customHeight="1">
      <c r="D260" s="4" t="n"/>
      <c r="E260" s="4" t="n"/>
    </row>
    <row r="261" ht="15.75" customHeight="1">
      <c r="D261" s="4" t="n"/>
      <c r="E261" s="4" t="n"/>
    </row>
    <row r="262" ht="15.75" customHeight="1">
      <c r="D262" s="4" t="n"/>
      <c r="E262" s="4" t="n"/>
    </row>
    <row r="263" ht="15.75" customHeight="1">
      <c r="D263" s="4" t="n"/>
      <c r="E263" s="4" t="n"/>
    </row>
    <row r="264" ht="15.75" customHeight="1">
      <c r="D264" s="4" t="n"/>
      <c r="E264" s="4" t="n"/>
    </row>
    <row r="265" ht="15.75" customHeight="1">
      <c r="D265" s="4" t="n"/>
      <c r="E265" s="4" t="n"/>
    </row>
    <row r="266" ht="15.75" customHeight="1">
      <c r="D266" s="4" t="n"/>
      <c r="E266" s="4" t="n"/>
    </row>
    <row r="267" ht="15.75" customHeight="1">
      <c r="D267" s="4" t="n"/>
      <c r="E267" s="4" t="n"/>
    </row>
    <row r="268" ht="15.75" customHeight="1">
      <c r="D268" s="4" t="n"/>
      <c r="E268" s="4" t="n"/>
    </row>
    <row r="269" ht="15.75" customHeight="1">
      <c r="D269" s="4" t="n"/>
      <c r="E269" s="4" t="n"/>
    </row>
    <row r="270" ht="15.75" customHeight="1">
      <c r="D270" s="4" t="n"/>
      <c r="E270" s="4" t="n"/>
    </row>
    <row r="271" ht="15.75" customHeight="1">
      <c r="D271" s="4" t="n"/>
      <c r="E271" s="4" t="n"/>
    </row>
    <row r="272" ht="15.75" customHeight="1">
      <c r="D272" s="4" t="n"/>
      <c r="E272" s="4" t="n"/>
    </row>
    <row r="273" ht="15.75" customHeight="1">
      <c r="D273" s="4" t="n"/>
      <c r="E273" s="4" t="n"/>
    </row>
    <row r="274" ht="15.75" customHeight="1">
      <c r="D274" s="4" t="n"/>
      <c r="E274" s="4" t="n"/>
    </row>
    <row r="275" ht="15.75" customHeight="1">
      <c r="D275" s="4" t="n"/>
      <c r="E275" s="4" t="n"/>
    </row>
    <row r="276" ht="15.75" customHeight="1">
      <c r="D276" s="4" t="n"/>
      <c r="E276" s="4" t="n"/>
    </row>
    <row r="277" ht="15.75" customHeight="1">
      <c r="D277" s="4" t="n"/>
      <c r="E277" s="4" t="n"/>
    </row>
    <row r="278" ht="15.75" customHeight="1">
      <c r="D278" s="4" t="n"/>
      <c r="E278" s="4" t="n"/>
    </row>
    <row r="279" ht="15.75" customHeight="1">
      <c r="D279" s="4" t="n"/>
      <c r="E279" s="4" t="n"/>
    </row>
    <row r="280" ht="15.75" customHeight="1">
      <c r="D280" s="4" t="n"/>
      <c r="E280" s="4" t="n"/>
    </row>
    <row r="281" ht="15.75" customHeight="1">
      <c r="D281" s="4" t="n"/>
      <c r="E281" s="4" t="n"/>
    </row>
    <row r="282" ht="15.75" customHeight="1">
      <c r="D282" s="4" t="n"/>
      <c r="E282" s="4" t="n"/>
    </row>
    <row r="283" ht="15.75" customHeight="1">
      <c r="D283" s="4" t="n"/>
      <c r="E283" s="4" t="n"/>
    </row>
    <row r="284" ht="15.75" customHeight="1">
      <c r="D284" s="4" t="n"/>
      <c r="E284" s="4" t="n"/>
    </row>
    <row r="285" ht="15.75" customHeight="1">
      <c r="D285" s="4" t="n"/>
      <c r="E285" s="4" t="n"/>
    </row>
    <row r="286" ht="15.75" customHeight="1">
      <c r="D286" s="4" t="n"/>
      <c r="E286" s="4" t="n"/>
    </row>
    <row r="287" ht="15.75" customHeight="1">
      <c r="D287" s="4" t="n"/>
      <c r="E287" s="4" t="n"/>
    </row>
    <row r="288" ht="15.75" customHeight="1">
      <c r="D288" s="4" t="n"/>
      <c r="E288" s="4" t="n"/>
    </row>
    <row r="289" ht="15.75" customHeight="1">
      <c r="D289" s="4" t="n"/>
      <c r="E289" s="4" t="n"/>
    </row>
    <row r="290" ht="15.75" customHeight="1">
      <c r="D290" s="4" t="n"/>
      <c r="E290" s="4" t="n"/>
    </row>
    <row r="291" ht="15.75" customHeight="1">
      <c r="D291" s="4" t="n"/>
      <c r="E291" s="4" t="n"/>
    </row>
    <row r="292" ht="15.75" customHeight="1">
      <c r="D292" s="4" t="n"/>
      <c r="E292" s="4" t="n"/>
    </row>
    <row r="293" ht="15.75" customHeight="1">
      <c r="D293" s="4" t="n"/>
      <c r="E293" s="4" t="n"/>
    </row>
    <row r="294" ht="15.75" customHeight="1">
      <c r="D294" s="4" t="n"/>
      <c r="E294" s="4" t="n"/>
    </row>
    <row r="295" ht="15.75" customHeight="1">
      <c r="D295" s="4" t="n"/>
      <c r="E295" s="4" t="n"/>
    </row>
    <row r="296" ht="15.75" customHeight="1">
      <c r="D296" s="4" t="n"/>
      <c r="E296" s="4" t="n"/>
    </row>
    <row r="297" ht="15.75" customHeight="1">
      <c r="D297" s="4" t="n"/>
      <c r="E297" s="4" t="n"/>
    </row>
    <row r="298" ht="15.75" customHeight="1">
      <c r="D298" s="4" t="n"/>
      <c r="E298" s="4" t="n"/>
    </row>
    <row r="299" ht="15.75" customHeight="1">
      <c r="D299" s="4" t="n"/>
      <c r="E299" s="4" t="n"/>
    </row>
    <row r="300" ht="15.75" customHeight="1">
      <c r="D300" s="4" t="n"/>
      <c r="E300" s="4" t="n"/>
    </row>
    <row r="301" ht="15.75" customHeight="1">
      <c r="D301" s="4" t="n"/>
      <c r="E301" s="4" t="n"/>
    </row>
    <row r="302" ht="15.75" customHeight="1">
      <c r="D302" s="4" t="n"/>
      <c r="E302" s="4" t="n"/>
    </row>
    <row r="303" ht="15.75" customHeight="1">
      <c r="D303" s="4" t="n"/>
      <c r="E303" s="4" t="n"/>
    </row>
    <row r="304" ht="15.75" customHeight="1">
      <c r="D304" s="4" t="n"/>
      <c r="E304" s="4" t="n"/>
    </row>
    <row r="305" ht="15.75" customHeight="1">
      <c r="D305" s="4" t="n"/>
      <c r="E305" s="4" t="n"/>
    </row>
    <row r="306" ht="15.75" customHeight="1">
      <c r="D306" s="4" t="n"/>
      <c r="E306" s="4" t="n"/>
    </row>
    <row r="307" ht="15.75" customHeight="1">
      <c r="D307" s="4" t="n"/>
      <c r="E307" s="4" t="n"/>
    </row>
    <row r="308" ht="15.75" customHeight="1">
      <c r="D308" s="4" t="n"/>
      <c r="E308" s="4" t="n"/>
    </row>
    <row r="309" ht="15.75" customHeight="1">
      <c r="D309" s="4" t="n"/>
      <c r="E309" s="4" t="n"/>
    </row>
    <row r="310" ht="15.75" customHeight="1">
      <c r="D310" s="4" t="n"/>
      <c r="E310" s="4" t="n"/>
    </row>
    <row r="311" ht="15.75" customHeight="1">
      <c r="D311" s="4" t="n"/>
      <c r="E311" s="4" t="n"/>
    </row>
    <row r="312" ht="15.75" customHeight="1">
      <c r="D312" s="4" t="n"/>
      <c r="E312" s="4" t="n"/>
    </row>
    <row r="313" ht="15.75" customHeight="1">
      <c r="D313" s="4" t="n"/>
      <c r="E313" s="4" t="n"/>
    </row>
    <row r="314" ht="15.75" customHeight="1">
      <c r="D314" s="4" t="n"/>
      <c r="E314" s="4" t="n"/>
    </row>
    <row r="315" ht="15.75" customHeight="1">
      <c r="D315" s="4" t="n"/>
      <c r="E315" s="4" t="n"/>
    </row>
    <row r="316" ht="15.75" customHeight="1">
      <c r="D316" s="4" t="n"/>
      <c r="E316" s="4" t="n"/>
    </row>
    <row r="317" ht="15.75" customHeight="1">
      <c r="D317" s="4" t="n"/>
      <c r="E317" s="4" t="n"/>
    </row>
    <row r="318" ht="15.75" customHeight="1">
      <c r="D318" s="4" t="n"/>
      <c r="E318" s="4" t="n"/>
    </row>
    <row r="319" ht="15.75" customHeight="1">
      <c r="D319" s="4" t="n"/>
      <c r="E319" s="4" t="n"/>
    </row>
    <row r="320" ht="15.75" customHeight="1">
      <c r="D320" s="4" t="n"/>
      <c r="E320" s="4" t="n"/>
    </row>
    <row r="321" ht="15.75" customHeight="1">
      <c r="D321" s="4" t="n"/>
      <c r="E321" s="4" t="n"/>
    </row>
    <row r="322" ht="15.75" customHeight="1">
      <c r="D322" s="4" t="n"/>
      <c r="E322" s="4" t="n"/>
    </row>
    <row r="323" ht="15.75" customHeight="1">
      <c r="D323" s="4" t="n"/>
      <c r="E323" s="4" t="n"/>
    </row>
    <row r="324" ht="15.75" customHeight="1">
      <c r="D324" s="4" t="n"/>
      <c r="E324" s="4" t="n"/>
    </row>
    <row r="325" ht="15.75" customHeight="1">
      <c r="D325" s="4" t="n"/>
      <c r="E325" s="4" t="n"/>
    </row>
    <row r="326" ht="15.75" customHeight="1">
      <c r="D326" s="4" t="n"/>
      <c r="E326" s="4" t="n"/>
    </row>
    <row r="327" ht="15.75" customHeight="1">
      <c r="D327" s="4" t="n"/>
      <c r="E327" s="4" t="n"/>
    </row>
    <row r="328" ht="15.75" customHeight="1">
      <c r="D328" s="4" t="n"/>
      <c r="E328" s="4" t="n"/>
    </row>
    <row r="329" ht="15.75" customHeight="1">
      <c r="D329" s="4" t="n"/>
      <c r="E329" s="4" t="n"/>
    </row>
    <row r="330" ht="15.75" customHeight="1">
      <c r="D330" s="4" t="n"/>
      <c r="E330" s="4" t="n"/>
    </row>
    <row r="331" ht="15.75" customHeight="1">
      <c r="D331" s="4" t="n"/>
      <c r="E331" s="4" t="n"/>
    </row>
    <row r="332" ht="15.75" customHeight="1">
      <c r="D332" s="4" t="n"/>
      <c r="E332" s="4" t="n"/>
    </row>
    <row r="333" ht="15.75" customHeight="1">
      <c r="D333" s="4" t="n"/>
      <c r="E333" s="4" t="n"/>
    </row>
    <row r="334" ht="15.75" customHeight="1">
      <c r="D334" s="4" t="n"/>
      <c r="E334" s="4" t="n"/>
    </row>
    <row r="335" ht="15.75" customHeight="1">
      <c r="D335" s="4" t="n"/>
      <c r="E335" s="4" t="n"/>
    </row>
    <row r="336" ht="15.75" customHeight="1">
      <c r="D336" s="4" t="n"/>
      <c r="E336" s="4" t="n"/>
    </row>
    <row r="337" ht="15.75" customHeight="1">
      <c r="D337" s="4" t="n"/>
      <c r="E337" s="4" t="n"/>
    </row>
    <row r="338" ht="15.75" customHeight="1">
      <c r="D338" s="4" t="n"/>
      <c r="E338" s="4" t="n"/>
    </row>
    <row r="339" ht="15.75" customHeight="1">
      <c r="D339" s="4" t="n"/>
      <c r="E339" s="4" t="n"/>
    </row>
    <row r="340" ht="15.75" customHeight="1">
      <c r="D340" s="4" t="n"/>
      <c r="E340" s="4" t="n"/>
    </row>
    <row r="341" ht="15.75" customHeight="1">
      <c r="D341" s="4" t="n"/>
      <c r="E341" s="4" t="n"/>
    </row>
    <row r="342" ht="15.75" customHeight="1">
      <c r="D342" s="4" t="n"/>
      <c r="E342" s="4" t="n"/>
    </row>
    <row r="343" ht="15.75" customHeight="1">
      <c r="D343" s="4" t="n"/>
      <c r="E343" s="4" t="n"/>
    </row>
    <row r="344" ht="15.75" customHeight="1">
      <c r="D344" s="4" t="n"/>
      <c r="E344" s="4" t="n"/>
    </row>
    <row r="345" ht="15.75" customHeight="1">
      <c r="D345" s="4" t="n"/>
      <c r="E345" s="4" t="n"/>
    </row>
    <row r="346" ht="15.75" customHeight="1">
      <c r="D346" s="4" t="n"/>
      <c r="E346" s="4" t="n"/>
    </row>
    <row r="347" ht="15.75" customHeight="1">
      <c r="D347" s="4" t="n"/>
      <c r="E347" s="4" t="n"/>
    </row>
    <row r="348" ht="15.75" customHeight="1">
      <c r="D348" s="4" t="n"/>
      <c r="E348" s="4" t="n"/>
    </row>
    <row r="349" ht="15.75" customHeight="1">
      <c r="D349" s="4" t="n"/>
      <c r="E349" s="4" t="n"/>
    </row>
    <row r="350" ht="15.75" customHeight="1">
      <c r="D350" s="4" t="n"/>
      <c r="E350" s="4" t="n"/>
    </row>
    <row r="351" ht="15.75" customHeight="1">
      <c r="D351" s="4" t="n"/>
      <c r="E351" s="4" t="n"/>
    </row>
    <row r="352" ht="15.75" customHeight="1">
      <c r="D352" s="4" t="n"/>
      <c r="E352" s="4" t="n"/>
    </row>
    <row r="353" ht="15.75" customHeight="1">
      <c r="D353" s="4" t="n"/>
      <c r="E353" s="4" t="n"/>
    </row>
    <row r="354" ht="15.75" customHeight="1">
      <c r="D354" s="4" t="n"/>
      <c r="E354" s="4" t="n"/>
    </row>
    <row r="355" ht="15.75" customHeight="1">
      <c r="D355" s="4" t="n"/>
      <c r="E355" s="4" t="n"/>
    </row>
    <row r="356" ht="15.75" customHeight="1">
      <c r="D356" s="4" t="n"/>
      <c r="E356" s="4" t="n"/>
    </row>
    <row r="357" ht="15.75" customHeight="1">
      <c r="D357" s="4" t="n"/>
      <c r="E357" s="4" t="n"/>
    </row>
    <row r="358" ht="15.75" customHeight="1">
      <c r="D358" s="4" t="n"/>
      <c r="E358" s="4" t="n"/>
    </row>
    <row r="359" ht="15.75" customHeight="1">
      <c r="D359" s="4" t="n"/>
      <c r="E359" s="4" t="n"/>
    </row>
    <row r="360" ht="15.75" customHeight="1">
      <c r="D360" s="4" t="n"/>
      <c r="E360" s="4" t="n"/>
    </row>
    <row r="361" ht="15.75" customHeight="1">
      <c r="D361" s="4" t="n"/>
      <c r="E361" s="4" t="n"/>
    </row>
    <row r="362" ht="15.75" customHeight="1">
      <c r="D362" s="4" t="n"/>
      <c r="E362" s="4" t="n"/>
    </row>
    <row r="363" ht="15.75" customHeight="1">
      <c r="D363" s="4" t="n"/>
      <c r="E363" s="4" t="n"/>
    </row>
    <row r="364" ht="15.75" customHeight="1">
      <c r="D364" s="4" t="n"/>
      <c r="E364" s="4" t="n"/>
    </row>
    <row r="365" ht="15.75" customHeight="1">
      <c r="D365" s="4" t="n"/>
      <c r="E365" s="4" t="n"/>
    </row>
    <row r="366" ht="15.75" customHeight="1">
      <c r="D366" s="4" t="n"/>
      <c r="E366" s="4" t="n"/>
    </row>
    <row r="367" ht="15.75" customHeight="1">
      <c r="D367" s="4" t="n"/>
      <c r="E367" s="4" t="n"/>
    </row>
    <row r="368" ht="15.75" customHeight="1">
      <c r="D368" s="4" t="n"/>
      <c r="E368" s="4" t="n"/>
    </row>
    <row r="369" ht="15.75" customHeight="1">
      <c r="D369" s="4" t="n"/>
      <c r="E369" s="4" t="n"/>
    </row>
    <row r="370" ht="15.75" customHeight="1">
      <c r="D370" s="4" t="n"/>
      <c r="E370" s="4" t="n"/>
    </row>
    <row r="371" ht="15.75" customHeight="1">
      <c r="D371" s="4" t="n"/>
      <c r="E371" s="4" t="n"/>
    </row>
    <row r="372" ht="15.75" customHeight="1">
      <c r="D372" s="4" t="n"/>
      <c r="E372" s="4" t="n"/>
    </row>
    <row r="373" ht="15.75" customHeight="1">
      <c r="D373" s="4" t="n"/>
      <c r="E373" s="4" t="n"/>
    </row>
    <row r="374" ht="15.75" customHeight="1">
      <c r="D374" s="4" t="n"/>
      <c r="E374" s="4" t="n"/>
    </row>
    <row r="375" ht="15.75" customHeight="1">
      <c r="D375" s="4" t="n"/>
      <c r="E375" s="4" t="n"/>
    </row>
    <row r="376" ht="15.75" customHeight="1">
      <c r="D376" s="4" t="n"/>
      <c r="E376" s="4" t="n"/>
    </row>
    <row r="377" ht="15.75" customHeight="1">
      <c r="D377" s="4" t="n"/>
      <c r="E377" s="4" t="n"/>
    </row>
    <row r="378" ht="15.75" customHeight="1">
      <c r="D378" s="4" t="n"/>
      <c r="E378" s="4" t="n"/>
    </row>
    <row r="379" ht="15.75" customHeight="1">
      <c r="D379" s="4" t="n"/>
      <c r="E379" s="4" t="n"/>
    </row>
    <row r="380" ht="15.75" customHeight="1">
      <c r="D380" s="4" t="n"/>
      <c r="E380" s="4" t="n"/>
    </row>
    <row r="381" ht="15.75" customHeight="1">
      <c r="D381" s="4" t="n"/>
      <c r="E381" s="4" t="n"/>
    </row>
    <row r="382" ht="15.75" customHeight="1">
      <c r="D382" s="4" t="n"/>
      <c r="E382" s="4" t="n"/>
    </row>
    <row r="383" ht="15.75" customHeight="1">
      <c r="D383" s="4" t="n"/>
      <c r="E383" s="4" t="n"/>
    </row>
    <row r="384" ht="15.75" customHeight="1">
      <c r="D384" s="4" t="n"/>
      <c r="E384" s="4" t="n"/>
    </row>
    <row r="385" ht="15.75" customHeight="1">
      <c r="D385" s="4" t="n"/>
      <c r="E385" s="4" t="n"/>
    </row>
    <row r="386" ht="15.75" customHeight="1">
      <c r="D386" s="4" t="n"/>
      <c r="E386" s="4" t="n"/>
    </row>
    <row r="387" ht="15.75" customHeight="1">
      <c r="D387" s="4" t="n"/>
      <c r="E387" s="4" t="n"/>
    </row>
    <row r="388" ht="15.75" customHeight="1">
      <c r="D388" s="4" t="n"/>
      <c r="E388" s="4" t="n"/>
    </row>
    <row r="389" ht="15.75" customHeight="1">
      <c r="D389" s="4" t="n"/>
      <c r="E389" s="4" t="n"/>
    </row>
    <row r="390" ht="15.75" customHeight="1">
      <c r="D390" s="4" t="n"/>
      <c r="E390" s="4" t="n"/>
    </row>
    <row r="391" ht="15.75" customHeight="1">
      <c r="D391" s="4" t="n"/>
      <c r="E391" s="4" t="n"/>
    </row>
    <row r="392" ht="15.75" customHeight="1">
      <c r="D392" s="4" t="n"/>
      <c r="E392" s="4" t="n"/>
    </row>
    <row r="393" ht="15.75" customHeight="1">
      <c r="D393" s="4" t="n"/>
      <c r="E393" s="4" t="n"/>
    </row>
    <row r="394" ht="15.75" customHeight="1">
      <c r="D394" s="4" t="n"/>
      <c r="E394" s="4" t="n"/>
    </row>
    <row r="395" ht="15.75" customHeight="1">
      <c r="D395" s="4" t="n"/>
      <c r="E395" s="4" t="n"/>
    </row>
    <row r="396" ht="15.75" customHeight="1">
      <c r="D396" s="4" t="n"/>
      <c r="E396" s="4" t="n"/>
    </row>
    <row r="397" ht="15.75" customHeight="1">
      <c r="D397" s="4" t="n"/>
      <c r="E397" s="4" t="n"/>
    </row>
    <row r="398" ht="15.75" customHeight="1">
      <c r="D398" s="4" t="n"/>
      <c r="E398" s="4" t="n"/>
    </row>
    <row r="399" ht="15.75" customHeight="1">
      <c r="D399" s="4" t="n"/>
      <c r="E399" s="4" t="n"/>
    </row>
    <row r="400" ht="15.75" customHeight="1">
      <c r="D400" s="4" t="n"/>
      <c r="E400" s="4" t="n"/>
    </row>
    <row r="401" ht="15.75" customHeight="1">
      <c r="D401" s="4" t="n"/>
      <c r="E401" s="4" t="n"/>
    </row>
    <row r="402" ht="15.75" customHeight="1">
      <c r="D402" s="4" t="n"/>
      <c r="E402" s="4" t="n"/>
    </row>
    <row r="403" ht="15.75" customHeight="1">
      <c r="D403" s="4" t="n"/>
      <c r="E403" s="4" t="n"/>
    </row>
    <row r="404" ht="15.75" customHeight="1">
      <c r="D404" s="4" t="n"/>
      <c r="E404" s="4" t="n"/>
    </row>
    <row r="405" ht="15.75" customHeight="1">
      <c r="D405" s="4" t="n"/>
      <c r="E405" s="4" t="n"/>
    </row>
    <row r="406" ht="15.75" customHeight="1">
      <c r="D406" s="4" t="n"/>
      <c r="E406" s="4" t="n"/>
    </row>
    <row r="407" ht="15.75" customHeight="1">
      <c r="D407" s="4" t="n"/>
      <c r="E407" s="4" t="n"/>
    </row>
    <row r="408" ht="15.75" customHeight="1">
      <c r="D408" s="4" t="n"/>
      <c r="E408" s="4" t="n"/>
    </row>
    <row r="409" ht="15.75" customHeight="1">
      <c r="D409" s="4" t="n"/>
      <c r="E409" s="4" t="n"/>
    </row>
    <row r="410" ht="15.75" customHeight="1">
      <c r="D410" s="4" t="n"/>
      <c r="E410" s="4" t="n"/>
    </row>
    <row r="411" ht="15.75" customHeight="1">
      <c r="D411" s="4" t="n"/>
      <c r="E411" s="4" t="n"/>
    </row>
    <row r="412" ht="15.75" customHeight="1">
      <c r="D412" s="4" t="n"/>
      <c r="E412" s="4" t="n"/>
    </row>
    <row r="413" ht="15.75" customHeight="1">
      <c r="D413" s="4" t="n"/>
      <c r="E413" s="4" t="n"/>
    </row>
    <row r="414" ht="15.75" customHeight="1">
      <c r="D414" s="4" t="n"/>
      <c r="E414" s="4" t="n"/>
    </row>
    <row r="415" ht="15.75" customHeight="1">
      <c r="D415" s="4" t="n"/>
      <c r="E415" s="4" t="n"/>
    </row>
    <row r="416" ht="15.75" customHeight="1">
      <c r="D416" s="4" t="n"/>
      <c r="E416" s="4" t="n"/>
    </row>
    <row r="417" ht="15.75" customHeight="1">
      <c r="D417" s="4" t="n"/>
      <c r="E417" s="4" t="n"/>
    </row>
    <row r="418" ht="15.75" customHeight="1">
      <c r="D418" s="4" t="n"/>
      <c r="E418" s="4" t="n"/>
    </row>
    <row r="419" ht="15.75" customHeight="1">
      <c r="D419" s="4" t="n"/>
      <c r="E419" s="4" t="n"/>
    </row>
    <row r="420" ht="15.75" customHeight="1">
      <c r="D420" s="4" t="n"/>
      <c r="E420" s="4" t="n"/>
    </row>
    <row r="421" ht="15.75" customHeight="1">
      <c r="D421" s="4" t="n"/>
      <c r="E421" s="4" t="n"/>
    </row>
    <row r="422" ht="15.75" customHeight="1">
      <c r="D422" s="4" t="n"/>
      <c r="E422" s="4" t="n"/>
    </row>
    <row r="423" ht="15.75" customHeight="1">
      <c r="D423" s="4" t="n"/>
      <c r="E423" s="4" t="n"/>
    </row>
    <row r="424" ht="15.75" customHeight="1">
      <c r="D424" s="4" t="n"/>
      <c r="E424" s="4" t="n"/>
    </row>
    <row r="425" ht="15.75" customHeight="1">
      <c r="D425" s="4" t="n"/>
      <c r="E425" s="4" t="n"/>
    </row>
    <row r="426" ht="15.75" customHeight="1">
      <c r="D426" s="4" t="n"/>
      <c r="E426" s="4" t="n"/>
    </row>
    <row r="427" ht="15.75" customHeight="1">
      <c r="D427" s="4" t="n"/>
      <c r="E427" s="4" t="n"/>
    </row>
    <row r="428" ht="15.75" customHeight="1">
      <c r="D428" s="4" t="n"/>
      <c r="E428" s="4" t="n"/>
    </row>
    <row r="429" ht="15.75" customHeight="1">
      <c r="D429" s="4" t="n"/>
      <c r="E429" s="4" t="n"/>
    </row>
    <row r="430" ht="15.75" customHeight="1">
      <c r="D430" s="4" t="n"/>
      <c r="E430" s="4" t="n"/>
    </row>
    <row r="431" ht="15.75" customHeight="1">
      <c r="D431" s="4" t="n"/>
      <c r="E431" s="4" t="n"/>
    </row>
    <row r="432" ht="15.75" customHeight="1">
      <c r="D432" s="4" t="n"/>
      <c r="E432" s="4" t="n"/>
    </row>
    <row r="433" ht="15.75" customHeight="1">
      <c r="D433" s="4" t="n"/>
      <c r="E433" s="4" t="n"/>
    </row>
    <row r="434" ht="15.75" customHeight="1">
      <c r="D434" s="4" t="n"/>
      <c r="E434" s="4" t="n"/>
    </row>
    <row r="435" ht="15.75" customHeight="1">
      <c r="D435" s="4" t="n"/>
      <c r="E435" s="4" t="n"/>
    </row>
    <row r="436" ht="15.75" customHeight="1">
      <c r="D436" s="4" t="n"/>
      <c r="E436" s="4" t="n"/>
    </row>
    <row r="437" ht="15.75" customHeight="1">
      <c r="D437" s="4" t="n"/>
      <c r="E437" s="4" t="n"/>
    </row>
    <row r="438" ht="15.75" customHeight="1">
      <c r="D438" s="4" t="n"/>
      <c r="E438" s="4" t="n"/>
    </row>
    <row r="439" ht="15.75" customHeight="1">
      <c r="D439" s="4" t="n"/>
      <c r="E439" s="4" t="n"/>
    </row>
    <row r="440" ht="15.75" customHeight="1">
      <c r="D440" s="4" t="n"/>
      <c r="E440" s="4" t="n"/>
    </row>
    <row r="441" ht="15.75" customHeight="1">
      <c r="D441" s="4" t="n"/>
      <c r="E441" s="4" t="n"/>
    </row>
    <row r="442" ht="15.75" customHeight="1">
      <c r="D442" s="4" t="n"/>
      <c r="E442" s="4" t="n"/>
    </row>
    <row r="443" ht="15.75" customHeight="1">
      <c r="D443" s="4" t="n"/>
      <c r="E443" s="4" t="n"/>
    </row>
    <row r="444" ht="15.75" customHeight="1">
      <c r="D444" s="4" t="n"/>
      <c r="E444" s="4" t="n"/>
    </row>
    <row r="445" ht="15.75" customHeight="1">
      <c r="D445" s="4" t="n"/>
      <c r="E445" s="4" t="n"/>
    </row>
    <row r="446" ht="15.75" customHeight="1">
      <c r="D446" s="4" t="n"/>
      <c r="E446" s="4" t="n"/>
    </row>
    <row r="447" ht="15.75" customHeight="1">
      <c r="D447" s="4" t="n"/>
      <c r="E447" s="4" t="n"/>
    </row>
    <row r="448" ht="15.75" customHeight="1">
      <c r="D448" s="4" t="n"/>
      <c r="E448" s="4" t="n"/>
    </row>
    <row r="449" ht="15.75" customHeight="1">
      <c r="D449" s="4" t="n"/>
      <c r="E449" s="4" t="n"/>
    </row>
    <row r="450" ht="15.75" customHeight="1">
      <c r="D450" s="4" t="n"/>
      <c r="E450" s="4" t="n"/>
    </row>
    <row r="451" ht="15.75" customHeight="1">
      <c r="D451" s="4" t="n"/>
      <c r="E451" s="4" t="n"/>
    </row>
    <row r="452" ht="15.75" customHeight="1">
      <c r="D452" s="4" t="n"/>
      <c r="E452" s="4" t="n"/>
    </row>
    <row r="453" ht="15.75" customHeight="1">
      <c r="D453" s="4" t="n"/>
      <c r="E453" s="4" t="n"/>
    </row>
    <row r="454" ht="15.75" customHeight="1">
      <c r="D454" s="4" t="n"/>
      <c r="E454" s="4" t="n"/>
    </row>
    <row r="455" ht="15.75" customHeight="1">
      <c r="D455" s="4" t="n"/>
      <c r="E455" s="4" t="n"/>
    </row>
    <row r="456" ht="15.75" customHeight="1">
      <c r="D456" s="4" t="n"/>
      <c r="E456" s="4" t="n"/>
    </row>
    <row r="457" ht="15.75" customHeight="1">
      <c r="D457" s="4" t="n"/>
      <c r="E457" s="4" t="n"/>
    </row>
    <row r="458" ht="15.75" customHeight="1">
      <c r="D458" s="4" t="n"/>
      <c r="E458" s="4" t="n"/>
    </row>
    <row r="459" ht="15.75" customHeight="1">
      <c r="D459" s="4" t="n"/>
      <c r="E459" s="4" t="n"/>
    </row>
    <row r="460" ht="15.75" customHeight="1">
      <c r="D460" s="4" t="n"/>
      <c r="E460" s="4" t="n"/>
    </row>
    <row r="461" ht="15.75" customHeight="1">
      <c r="D461" s="4" t="n"/>
      <c r="E461" s="4" t="n"/>
    </row>
    <row r="462" ht="15.75" customHeight="1">
      <c r="D462" s="4" t="n"/>
      <c r="E462" s="4" t="n"/>
    </row>
    <row r="463" ht="15.75" customHeight="1">
      <c r="D463" s="4" t="n"/>
      <c r="E463" s="4" t="n"/>
    </row>
    <row r="464" ht="15.75" customHeight="1">
      <c r="D464" s="4" t="n"/>
      <c r="E464" s="4" t="n"/>
    </row>
    <row r="465" ht="15.75" customHeight="1">
      <c r="D465" s="4" t="n"/>
      <c r="E465" s="4" t="n"/>
    </row>
    <row r="466" ht="15.75" customHeight="1">
      <c r="D466" s="4" t="n"/>
      <c r="E466" s="4" t="n"/>
    </row>
    <row r="467" ht="15.75" customHeight="1">
      <c r="D467" s="4" t="n"/>
      <c r="E467" s="4" t="n"/>
    </row>
    <row r="468" ht="15.75" customHeight="1">
      <c r="D468" s="4" t="n"/>
      <c r="E468" s="4" t="n"/>
    </row>
    <row r="469" ht="15.75" customHeight="1">
      <c r="D469" s="4" t="n"/>
      <c r="E469" s="4" t="n"/>
    </row>
    <row r="470" ht="15.75" customHeight="1">
      <c r="D470" s="4" t="n"/>
      <c r="E470" s="4" t="n"/>
    </row>
    <row r="471" ht="15.75" customHeight="1">
      <c r="D471" s="4" t="n"/>
      <c r="E471" s="4" t="n"/>
    </row>
    <row r="472" ht="15.75" customHeight="1">
      <c r="D472" s="4" t="n"/>
      <c r="E472" s="4" t="n"/>
    </row>
    <row r="473" ht="15.75" customHeight="1">
      <c r="D473" s="4" t="n"/>
      <c r="E473" s="4" t="n"/>
    </row>
    <row r="474" ht="15.75" customHeight="1">
      <c r="D474" s="4" t="n"/>
      <c r="E474" s="4" t="n"/>
    </row>
    <row r="475" ht="15.75" customHeight="1">
      <c r="D475" s="4" t="n"/>
      <c r="E475" s="4" t="n"/>
    </row>
    <row r="476" ht="15.75" customHeight="1">
      <c r="D476" s="4" t="n"/>
      <c r="E476" s="4" t="n"/>
    </row>
    <row r="477" ht="15.75" customHeight="1">
      <c r="D477" s="4" t="n"/>
      <c r="E477" s="4" t="n"/>
    </row>
    <row r="478" ht="15.75" customHeight="1">
      <c r="D478" s="4" t="n"/>
      <c r="E478" s="4" t="n"/>
    </row>
    <row r="479" ht="15.75" customHeight="1">
      <c r="D479" s="4" t="n"/>
      <c r="E479" s="4" t="n"/>
    </row>
    <row r="480" ht="15.75" customHeight="1">
      <c r="D480" s="4" t="n"/>
      <c r="E480" s="4" t="n"/>
    </row>
    <row r="481" ht="15.75" customHeight="1">
      <c r="D481" s="4" t="n"/>
      <c r="E481" s="4" t="n"/>
    </row>
    <row r="482" ht="15.75" customHeight="1">
      <c r="D482" s="4" t="n"/>
      <c r="E482" s="4" t="n"/>
    </row>
    <row r="483" ht="15.75" customHeight="1">
      <c r="D483" s="4" t="n"/>
      <c r="E483" s="4" t="n"/>
    </row>
    <row r="484" ht="15.75" customHeight="1">
      <c r="D484" s="4" t="n"/>
      <c r="E484" s="4" t="n"/>
    </row>
    <row r="485" ht="15.75" customHeight="1">
      <c r="D485" s="4" t="n"/>
      <c r="E485" s="4" t="n"/>
    </row>
    <row r="486" ht="15.75" customHeight="1">
      <c r="D486" s="4" t="n"/>
      <c r="E486" s="4" t="n"/>
    </row>
    <row r="487" ht="15.75" customHeight="1">
      <c r="D487" s="4" t="n"/>
      <c r="E487" s="4" t="n"/>
    </row>
    <row r="488" ht="15.75" customHeight="1">
      <c r="D488" s="4" t="n"/>
      <c r="E488" s="4" t="n"/>
    </row>
    <row r="489" ht="15.75" customHeight="1">
      <c r="D489" s="4" t="n"/>
      <c r="E489" s="4" t="n"/>
    </row>
    <row r="490" ht="15.75" customHeight="1">
      <c r="D490" s="4" t="n"/>
      <c r="E490" s="4" t="n"/>
    </row>
    <row r="491" ht="15.75" customHeight="1">
      <c r="D491" s="4" t="n"/>
      <c r="E491" s="4" t="n"/>
    </row>
    <row r="492" ht="15.75" customHeight="1">
      <c r="D492" s="4" t="n"/>
      <c r="E492" s="4" t="n"/>
    </row>
    <row r="493" ht="15.75" customHeight="1">
      <c r="D493" s="4" t="n"/>
      <c r="E493" s="4" t="n"/>
    </row>
    <row r="494" ht="15.75" customHeight="1">
      <c r="D494" s="4" t="n"/>
      <c r="E494" s="4" t="n"/>
    </row>
    <row r="495" ht="15.75" customHeight="1">
      <c r="D495" s="4" t="n"/>
      <c r="E495" s="4" t="n"/>
    </row>
    <row r="496" ht="15.75" customHeight="1">
      <c r="D496" s="4" t="n"/>
      <c r="E496" s="4" t="n"/>
    </row>
    <row r="497" ht="15.75" customHeight="1">
      <c r="D497" s="4" t="n"/>
      <c r="E497" s="4" t="n"/>
    </row>
    <row r="498" ht="15.75" customHeight="1">
      <c r="D498" s="4" t="n"/>
      <c r="E498" s="4" t="n"/>
    </row>
    <row r="499" ht="15.75" customHeight="1">
      <c r="D499" s="4" t="n"/>
      <c r="E499" s="4" t="n"/>
    </row>
    <row r="500" ht="15.75" customHeight="1">
      <c r="D500" s="4" t="n"/>
      <c r="E500" s="4" t="n"/>
    </row>
    <row r="501" ht="15.75" customHeight="1">
      <c r="D501" s="4" t="n"/>
      <c r="E501" s="4" t="n"/>
    </row>
    <row r="502" ht="15.75" customHeight="1">
      <c r="D502" s="4" t="n"/>
      <c r="E502" s="4" t="n"/>
    </row>
    <row r="503" ht="15.75" customHeight="1">
      <c r="D503" s="4" t="n"/>
      <c r="E503" s="4" t="n"/>
    </row>
    <row r="504" ht="15.75" customHeight="1">
      <c r="D504" s="4" t="n"/>
      <c r="E504" s="4" t="n"/>
    </row>
    <row r="505" ht="15.75" customHeight="1">
      <c r="D505" s="4" t="n"/>
      <c r="E505" s="4" t="n"/>
    </row>
    <row r="506" ht="15.75" customHeight="1">
      <c r="D506" s="4" t="n"/>
      <c r="E506" s="4" t="n"/>
    </row>
    <row r="507" ht="15.75" customHeight="1">
      <c r="D507" s="4" t="n"/>
      <c r="E507" s="4" t="n"/>
    </row>
    <row r="508" ht="15.75" customHeight="1">
      <c r="D508" s="4" t="n"/>
      <c r="E508" s="4" t="n"/>
    </row>
    <row r="509" ht="15.75" customHeight="1">
      <c r="D509" s="4" t="n"/>
      <c r="E509" s="4" t="n"/>
    </row>
    <row r="510" ht="15.75" customHeight="1">
      <c r="D510" s="4" t="n"/>
      <c r="E510" s="4" t="n"/>
    </row>
    <row r="511" ht="15.75" customHeight="1">
      <c r="D511" s="4" t="n"/>
      <c r="E511" s="4" t="n"/>
    </row>
    <row r="512" ht="15.75" customHeight="1">
      <c r="D512" s="4" t="n"/>
      <c r="E512" s="4" t="n"/>
    </row>
    <row r="513" ht="15.75" customHeight="1">
      <c r="D513" s="4" t="n"/>
      <c r="E513" s="4" t="n"/>
    </row>
    <row r="514" ht="15.75" customHeight="1">
      <c r="D514" s="4" t="n"/>
      <c r="E514" s="4" t="n"/>
    </row>
    <row r="515" ht="15.75" customHeight="1">
      <c r="D515" s="4" t="n"/>
      <c r="E515" s="4" t="n"/>
    </row>
    <row r="516" ht="15.75" customHeight="1">
      <c r="D516" s="4" t="n"/>
      <c r="E516" s="4" t="n"/>
    </row>
    <row r="517" ht="15.75" customHeight="1">
      <c r="D517" s="4" t="n"/>
      <c r="E517" s="4" t="n"/>
    </row>
    <row r="518" ht="15.75" customHeight="1">
      <c r="D518" s="4" t="n"/>
      <c r="E518" s="4" t="n"/>
    </row>
    <row r="519" ht="15.75" customHeight="1">
      <c r="D519" s="4" t="n"/>
      <c r="E519" s="4" t="n"/>
    </row>
    <row r="520" ht="15.75" customHeight="1">
      <c r="D520" s="4" t="n"/>
      <c r="E520" s="4" t="n"/>
    </row>
    <row r="521" ht="15.75" customHeight="1">
      <c r="D521" s="4" t="n"/>
      <c r="E521" s="4" t="n"/>
    </row>
    <row r="522" ht="15.75" customHeight="1">
      <c r="D522" s="4" t="n"/>
      <c r="E522" s="4" t="n"/>
    </row>
    <row r="523" ht="15.75" customHeight="1">
      <c r="D523" s="4" t="n"/>
      <c r="E523" s="4" t="n"/>
    </row>
    <row r="524" ht="15.75" customHeight="1">
      <c r="D524" s="4" t="n"/>
      <c r="E524" s="4" t="n"/>
    </row>
    <row r="525" ht="15.75" customHeight="1">
      <c r="D525" s="4" t="n"/>
      <c r="E525" s="4" t="n"/>
    </row>
    <row r="526" ht="15.75" customHeight="1">
      <c r="D526" s="4" t="n"/>
      <c r="E526" s="4" t="n"/>
    </row>
    <row r="527" ht="15.75" customHeight="1">
      <c r="D527" s="4" t="n"/>
      <c r="E527" s="4" t="n"/>
    </row>
    <row r="528" ht="15.75" customHeight="1">
      <c r="D528" s="4" t="n"/>
      <c r="E528" s="4" t="n"/>
    </row>
    <row r="529" ht="15.75" customHeight="1">
      <c r="D529" s="4" t="n"/>
      <c r="E529" s="4" t="n"/>
    </row>
    <row r="530" ht="15.75" customHeight="1">
      <c r="D530" s="4" t="n"/>
      <c r="E530" s="4" t="n"/>
    </row>
    <row r="531" ht="15.75" customHeight="1">
      <c r="D531" s="4" t="n"/>
      <c r="E531" s="4" t="n"/>
    </row>
    <row r="532" ht="15.75" customHeight="1">
      <c r="D532" s="4" t="n"/>
      <c r="E532" s="4" t="n"/>
    </row>
    <row r="533" ht="15.75" customHeight="1">
      <c r="D533" s="4" t="n"/>
      <c r="E533" s="4" t="n"/>
    </row>
    <row r="534" ht="15.75" customHeight="1">
      <c r="D534" s="4" t="n"/>
      <c r="E534" s="4" t="n"/>
    </row>
    <row r="535" ht="15.75" customHeight="1">
      <c r="D535" s="4" t="n"/>
      <c r="E535" s="4" t="n"/>
    </row>
    <row r="536" ht="15.75" customHeight="1">
      <c r="D536" s="4" t="n"/>
      <c r="E536" s="4" t="n"/>
    </row>
    <row r="537" ht="15.75" customHeight="1">
      <c r="D537" s="4" t="n"/>
      <c r="E537" s="4" t="n"/>
    </row>
    <row r="538" ht="15.75" customHeight="1">
      <c r="D538" s="4" t="n"/>
      <c r="E538" s="4" t="n"/>
    </row>
    <row r="539" ht="15.75" customHeight="1">
      <c r="D539" s="4" t="n"/>
      <c r="E539" s="4" t="n"/>
    </row>
    <row r="540" ht="15.75" customHeight="1">
      <c r="D540" s="4" t="n"/>
      <c r="E540" s="4" t="n"/>
    </row>
    <row r="541" ht="15.75" customHeight="1">
      <c r="D541" s="4" t="n"/>
      <c r="E541" s="4" t="n"/>
    </row>
    <row r="542" ht="15.75" customHeight="1">
      <c r="D542" s="4" t="n"/>
      <c r="E542" s="4" t="n"/>
    </row>
    <row r="543" ht="15.75" customHeight="1">
      <c r="D543" s="4" t="n"/>
      <c r="E543" s="4" t="n"/>
    </row>
    <row r="544" ht="15.75" customHeight="1">
      <c r="D544" s="4" t="n"/>
      <c r="E544" s="4" t="n"/>
    </row>
    <row r="545" ht="15.75" customHeight="1">
      <c r="D545" s="4" t="n"/>
      <c r="E545" s="4" t="n"/>
    </row>
    <row r="546" ht="15.75" customHeight="1">
      <c r="D546" s="4" t="n"/>
      <c r="E546" s="4" t="n"/>
    </row>
    <row r="547" ht="15.75" customHeight="1">
      <c r="D547" s="4" t="n"/>
      <c r="E547" s="4" t="n"/>
    </row>
    <row r="548" ht="15.75" customHeight="1">
      <c r="D548" s="4" t="n"/>
      <c r="E548" s="4" t="n"/>
    </row>
    <row r="549" ht="15.75" customHeight="1">
      <c r="D549" s="4" t="n"/>
      <c r="E549" s="4" t="n"/>
    </row>
    <row r="550" ht="15.75" customHeight="1">
      <c r="D550" s="4" t="n"/>
      <c r="E550" s="4" t="n"/>
    </row>
    <row r="551" ht="15.75" customHeight="1">
      <c r="D551" s="4" t="n"/>
      <c r="E551" s="4" t="n"/>
    </row>
    <row r="552" ht="15.75" customHeight="1">
      <c r="D552" s="4" t="n"/>
      <c r="E552" s="4" t="n"/>
    </row>
    <row r="553" ht="15.75" customHeight="1">
      <c r="D553" s="4" t="n"/>
      <c r="E553" s="4" t="n"/>
    </row>
    <row r="554" ht="15.75" customHeight="1">
      <c r="D554" s="4" t="n"/>
      <c r="E554" s="4" t="n"/>
    </row>
    <row r="555" ht="15.75" customHeight="1">
      <c r="D555" s="4" t="n"/>
      <c r="E555" s="4" t="n"/>
    </row>
    <row r="556" ht="15.75" customHeight="1">
      <c r="D556" s="4" t="n"/>
      <c r="E556" s="4" t="n"/>
    </row>
    <row r="557" ht="15.75" customHeight="1">
      <c r="D557" s="4" t="n"/>
      <c r="E557" s="4" t="n"/>
    </row>
    <row r="558" ht="15.75" customHeight="1">
      <c r="D558" s="4" t="n"/>
      <c r="E558" s="4" t="n"/>
    </row>
    <row r="559" ht="15.75" customHeight="1">
      <c r="D559" s="4" t="n"/>
      <c r="E559" s="4" t="n"/>
    </row>
    <row r="560" ht="15.75" customHeight="1">
      <c r="D560" s="4" t="n"/>
      <c r="E560" s="4" t="n"/>
    </row>
    <row r="561" ht="15.75" customHeight="1">
      <c r="D561" s="4" t="n"/>
      <c r="E561" s="4" t="n"/>
    </row>
    <row r="562" ht="15.75" customHeight="1">
      <c r="D562" s="4" t="n"/>
      <c r="E562" s="4" t="n"/>
    </row>
    <row r="563" ht="15.75" customHeight="1">
      <c r="D563" s="4" t="n"/>
      <c r="E563" s="4" t="n"/>
    </row>
    <row r="564" ht="15.75" customHeight="1">
      <c r="D564" s="4" t="n"/>
      <c r="E564" s="4" t="n"/>
    </row>
    <row r="565" ht="15.75" customHeight="1">
      <c r="D565" s="4" t="n"/>
      <c r="E565" s="4" t="n"/>
    </row>
    <row r="566" ht="15.75" customHeight="1">
      <c r="D566" s="4" t="n"/>
      <c r="E566" s="4" t="n"/>
    </row>
    <row r="567" ht="15.75" customHeight="1">
      <c r="D567" s="4" t="n"/>
      <c r="E567" s="4" t="n"/>
    </row>
    <row r="568" ht="15.75" customHeight="1">
      <c r="D568" s="4" t="n"/>
      <c r="E568" s="4" t="n"/>
    </row>
    <row r="569" ht="15.75" customHeight="1">
      <c r="D569" s="4" t="n"/>
      <c r="E569" s="4" t="n"/>
    </row>
    <row r="570" ht="15.75" customHeight="1">
      <c r="D570" s="4" t="n"/>
      <c r="E570" s="4" t="n"/>
    </row>
    <row r="571" ht="15.75" customHeight="1">
      <c r="D571" s="4" t="n"/>
      <c r="E571" s="4" t="n"/>
    </row>
    <row r="572" ht="15.75" customHeight="1">
      <c r="D572" s="4" t="n"/>
      <c r="E572" s="4" t="n"/>
    </row>
    <row r="573" ht="15.75" customHeight="1">
      <c r="D573" s="4" t="n"/>
      <c r="E573" s="4" t="n"/>
    </row>
    <row r="574" ht="15.75" customHeight="1">
      <c r="D574" s="4" t="n"/>
      <c r="E574" s="4" t="n"/>
    </row>
    <row r="575" ht="15.75" customHeight="1">
      <c r="D575" s="4" t="n"/>
      <c r="E575" s="4" t="n"/>
    </row>
    <row r="576" ht="15.75" customHeight="1">
      <c r="D576" s="4" t="n"/>
      <c r="E576" s="4" t="n"/>
    </row>
    <row r="577" ht="15.75" customHeight="1">
      <c r="D577" s="4" t="n"/>
      <c r="E577" s="4" t="n"/>
    </row>
    <row r="578" ht="15.75" customHeight="1">
      <c r="D578" s="4" t="n"/>
      <c r="E578" s="4" t="n"/>
    </row>
    <row r="579" ht="15.75" customHeight="1">
      <c r="D579" s="4" t="n"/>
      <c r="E579" s="4" t="n"/>
    </row>
    <row r="580" ht="15.75" customHeight="1">
      <c r="D580" s="4" t="n"/>
      <c r="E580" s="4" t="n"/>
    </row>
    <row r="581" ht="15.75" customHeight="1">
      <c r="D581" s="4" t="n"/>
      <c r="E581" s="4" t="n"/>
    </row>
    <row r="582" ht="15.75" customHeight="1">
      <c r="D582" s="4" t="n"/>
      <c r="E582" s="4" t="n"/>
    </row>
    <row r="583" ht="15.75" customHeight="1">
      <c r="D583" s="4" t="n"/>
      <c r="E583" s="4" t="n"/>
    </row>
    <row r="584" ht="15.75" customHeight="1">
      <c r="D584" s="4" t="n"/>
      <c r="E584" s="4" t="n"/>
    </row>
    <row r="585" ht="15.75" customHeight="1">
      <c r="D585" s="4" t="n"/>
      <c r="E585" s="4" t="n"/>
    </row>
    <row r="586" ht="15.75" customHeight="1">
      <c r="D586" s="4" t="n"/>
      <c r="E586" s="4" t="n"/>
    </row>
    <row r="587" ht="15.75" customHeight="1">
      <c r="D587" s="4" t="n"/>
      <c r="E587" s="4" t="n"/>
    </row>
    <row r="588" ht="15.75" customHeight="1">
      <c r="D588" s="4" t="n"/>
      <c r="E588" s="4" t="n"/>
    </row>
    <row r="589" ht="15.75" customHeight="1">
      <c r="D589" s="4" t="n"/>
      <c r="E589" s="4" t="n"/>
    </row>
    <row r="590" ht="15.75" customHeight="1">
      <c r="D590" s="4" t="n"/>
      <c r="E590" s="4" t="n"/>
    </row>
    <row r="591" ht="15.75" customHeight="1">
      <c r="D591" s="4" t="n"/>
      <c r="E591" s="4" t="n"/>
    </row>
    <row r="592" ht="15.75" customHeight="1">
      <c r="D592" s="4" t="n"/>
      <c r="E592" s="4" t="n"/>
    </row>
    <row r="593" ht="15.75" customHeight="1">
      <c r="D593" s="4" t="n"/>
      <c r="E593" s="4" t="n"/>
    </row>
    <row r="594" ht="15.75" customHeight="1">
      <c r="D594" s="4" t="n"/>
      <c r="E594" s="4" t="n"/>
    </row>
    <row r="595" ht="15.75" customHeight="1">
      <c r="D595" s="4" t="n"/>
      <c r="E595" s="4" t="n"/>
    </row>
    <row r="596" ht="15.75" customHeight="1">
      <c r="D596" s="4" t="n"/>
      <c r="E596" s="4" t="n"/>
    </row>
    <row r="597" ht="15.75" customHeight="1">
      <c r="D597" s="4" t="n"/>
      <c r="E597" s="4" t="n"/>
    </row>
    <row r="598" ht="15.75" customHeight="1">
      <c r="D598" s="4" t="n"/>
      <c r="E598" s="4" t="n"/>
    </row>
    <row r="599" ht="15.75" customHeight="1">
      <c r="D599" s="4" t="n"/>
      <c r="E599" s="4" t="n"/>
    </row>
    <row r="600" ht="15.75" customHeight="1">
      <c r="D600" s="4" t="n"/>
      <c r="E600" s="4" t="n"/>
    </row>
    <row r="601" ht="15.75" customHeight="1">
      <c r="D601" s="4" t="n"/>
      <c r="E601" s="4" t="n"/>
    </row>
    <row r="602" ht="15.75" customHeight="1">
      <c r="D602" s="4" t="n"/>
      <c r="E602" s="4" t="n"/>
    </row>
    <row r="603" ht="15.75" customHeight="1">
      <c r="D603" s="4" t="n"/>
      <c r="E603" s="4" t="n"/>
    </row>
    <row r="604" ht="15.75" customHeight="1">
      <c r="D604" s="4" t="n"/>
      <c r="E604" s="4" t="n"/>
    </row>
    <row r="605" ht="15.75" customHeight="1">
      <c r="D605" s="4" t="n"/>
      <c r="E605" s="4" t="n"/>
    </row>
    <row r="606" ht="15.75" customHeight="1">
      <c r="D606" s="4" t="n"/>
      <c r="E606" s="4" t="n"/>
    </row>
    <row r="607" ht="15.75" customHeight="1">
      <c r="D607" s="4" t="n"/>
      <c r="E607" s="4" t="n"/>
    </row>
    <row r="608" ht="15.75" customHeight="1">
      <c r="D608" s="4" t="n"/>
      <c r="E608" s="4" t="n"/>
    </row>
    <row r="609" ht="15.75" customHeight="1">
      <c r="D609" s="4" t="n"/>
      <c r="E609" s="4" t="n"/>
    </row>
    <row r="610" ht="15.75" customHeight="1">
      <c r="D610" s="4" t="n"/>
      <c r="E610" s="4" t="n"/>
    </row>
    <row r="611" ht="15.75" customHeight="1">
      <c r="D611" s="4" t="n"/>
      <c r="E611" s="4" t="n"/>
    </row>
    <row r="612" ht="15.75" customHeight="1">
      <c r="D612" s="4" t="n"/>
      <c r="E612" s="4" t="n"/>
    </row>
    <row r="613" ht="15.75" customHeight="1">
      <c r="D613" s="4" t="n"/>
      <c r="E613" s="4" t="n"/>
    </row>
    <row r="614" ht="15.75" customHeight="1">
      <c r="D614" s="4" t="n"/>
      <c r="E614" s="4" t="n"/>
    </row>
    <row r="615" ht="15.75" customHeight="1">
      <c r="D615" s="4" t="n"/>
      <c r="E615" s="4" t="n"/>
    </row>
    <row r="616" ht="15.75" customHeight="1">
      <c r="D616" s="4" t="n"/>
      <c r="E616" s="4" t="n"/>
    </row>
    <row r="617" ht="15.75" customHeight="1">
      <c r="D617" s="4" t="n"/>
      <c r="E617" s="4" t="n"/>
    </row>
    <row r="618" ht="15.75" customHeight="1">
      <c r="D618" s="4" t="n"/>
      <c r="E618" s="4" t="n"/>
    </row>
    <row r="619" ht="15.75" customHeight="1">
      <c r="D619" s="4" t="n"/>
      <c r="E619" s="4" t="n"/>
    </row>
    <row r="620" ht="15.75" customHeight="1">
      <c r="D620" s="4" t="n"/>
      <c r="E620" s="4" t="n"/>
    </row>
    <row r="621" ht="15.75" customHeight="1">
      <c r="D621" s="4" t="n"/>
      <c r="E621" s="4" t="n"/>
    </row>
    <row r="622" ht="15.75" customHeight="1">
      <c r="D622" s="4" t="n"/>
      <c r="E622" s="4" t="n"/>
    </row>
    <row r="623" ht="15.75" customHeight="1">
      <c r="D623" s="4" t="n"/>
      <c r="E623" s="4" t="n"/>
    </row>
    <row r="624" ht="15.75" customHeight="1">
      <c r="D624" s="4" t="n"/>
      <c r="E624" s="4" t="n"/>
    </row>
    <row r="625" ht="15.75" customHeight="1">
      <c r="D625" s="4" t="n"/>
      <c r="E625" s="4" t="n"/>
    </row>
    <row r="626" ht="15.75" customHeight="1">
      <c r="D626" s="4" t="n"/>
      <c r="E626" s="4" t="n"/>
    </row>
    <row r="627" ht="15.75" customHeight="1">
      <c r="D627" s="4" t="n"/>
      <c r="E627" s="4" t="n"/>
    </row>
    <row r="628" ht="15.75" customHeight="1">
      <c r="D628" s="4" t="n"/>
      <c r="E628" s="4" t="n"/>
    </row>
    <row r="629" ht="15.75" customHeight="1">
      <c r="D629" s="4" t="n"/>
      <c r="E629" s="4" t="n"/>
    </row>
    <row r="630" ht="15.75" customHeight="1">
      <c r="D630" s="4" t="n"/>
      <c r="E630" s="4" t="n"/>
    </row>
    <row r="631" ht="15.75" customHeight="1">
      <c r="D631" s="4" t="n"/>
      <c r="E631" s="4" t="n"/>
    </row>
    <row r="632" ht="15.75" customHeight="1">
      <c r="D632" s="4" t="n"/>
      <c r="E632" s="4" t="n"/>
    </row>
    <row r="633" ht="15.75" customHeight="1">
      <c r="D633" s="4" t="n"/>
      <c r="E633" s="4" t="n"/>
    </row>
    <row r="634" ht="15.75" customHeight="1">
      <c r="D634" s="4" t="n"/>
      <c r="E634" s="4" t="n"/>
    </row>
    <row r="635" ht="15.75" customHeight="1">
      <c r="D635" s="4" t="n"/>
      <c r="E635" s="4" t="n"/>
    </row>
    <row r="636" ht="15.75" customHeight="1">
      <c r="D636" s="4" t="n"/>
      <c r="E636" s="4" t="n"/>
    </row>
    <row r="637" ht="15.75" customHeight="1">
      <c r="D637" s="4" t="n"/>
      <c r="E637" s="4" t="n"/>
    </row>
    <row r="638" ht="15.75" customHeight="1">
      <c r="D638" s="4" t="n"/>
      <c r="E638" s="4" t="n"/>
    </row>
    <row r="639" ht="15.75" customHeight="1">
      <c r="D639" s="4" t="n"/>
      <c r="E639" s="4" t="n"/>
    </row>
    <row r="640" ht="15.75" customHeight="1">
      <c r="D640" s="4" t="n"/>
      <c r="E640" s="4" t="n"/>
    </row>
    <row r="641" ht="15.75" customHeight="1">
      <c r="D641" s="4" t="n"/>
      <c r="E641" s="4" t="n"/>
    </row>
    <row r="642" ht="15.75" customHeight="1">
      <c r="D642" s="4" t="n"/>
      <c r="E642" s="4" t="n"/>
    </row>
    <row r="643" ht="15.75" customHeight="1">
      <c r="D643" s="4" t="n"/>
      <c r="E643" s="4" t="n"/>
    </row>
    <row r="644" ht="15.75" customHeight="1">
      <c r="D644" s="4" t="n"/>
      <c r="E644" s="4" t="n"/>
    </row>
    <row r="645" ht="15.75" customHeight="1">
      <c r="D645" s="4" t="n"/>
      <c r="E645" s="4" t="n"/>
    </row>
    <row r="646" ht="15.75" customHeight="1">
      <c r="D646" s="4" t="n"/>
      <c r="E646" s="4" t="n"/>
    </row>
    <row r="647" ht="15.75" customHeight="1">
      <c r="D647" s="4" t="n"/>
      <c r="E647" s="4" t="n"/>
    </row>
    <row r="648" ht="15.75" customHeight="1">
      <c r="D648" s="4" t="n"/>
      <c r="E648" s="4" t="n"/>
    </row>
    <row r="649" ht="15.75" customHeight="1">
      <c r="D649" s="4" t="n"/>
      <c r="E649" s="4" t="n"/>
    </row>
    <row r="650" ht="15.75" customHeight="1">
      <c r="D650" s="4" t="n"/>
      <c r="E650" s="4" t="n"/>
    </row>
    <row r="651" ht="15.75" customHeight="1">
      <c r="D651" s="4" t="n"/>
      <c r="E651" s="4" t="n"/>
    </row>
    <row r="652" ht="15.75" customHeight="1">
      <c r="D652" s="4" t="n"/>
      <c r="E652" s="4" t="n"/>
    </row>
    <row r="653" ht="15.75" customHeight="1">
      <c r="D653" s="4" t="n"/>
      <c r="E653" s="4" t="n"/>
    </row>
    <row r="654" ht="15.75" customHeight="1">
      <c r="D654" s="4" t="n"/>
      <c r="E654" s="4" t="n"/>
    </row>
    <row r="655" ht="15.75" customHeight="1">
      <c r="D655" s="4" t="n"/>
      <c r="E655" s="4" t="n"/>
    </row>
    <row r="656" ht="15.75" customHeight="1">
      <c r="D656" s="4" t="n"/>
      <c r="E656" s="4" t="n"/>
    </row>
    <row r="657" ht="15.75" customHeight="1">
      <c r="D657" s="4" t="n"/>
      <c r="E657" s="4" t="n"/>
    </row>
    <row r="658" ht="15.75" customHeight="1">
      <c r="D658" s="4" t="n"/>
      <c r="E658" s="4" t="n"/>
    </row>
    <row r="659" ht="15.75" customHeight="1">
      <c r="D659" s="4" t="n"/>
      <c r="E659" s="4" t="n"/>
    </row>
    <row r="660" ht="15.75" customHeight="1">
      <c r="D660" s="4" t="n"/>
      <c r="E660" s="4" t="n"/>
    </row>
    <row r="661" ht="15.75" customHeight="1">
      <c r="D661" s="4" t="n"/>
      <c r="E661" s="4" t="n"/>
    </row>
    <row r="662" ht="15.75" customHeight="1">
      <c r="D662" s="4" t="n"/>
      <c r="E662" s="4" t="n"/>
    </row>
    <row r="663" ht="15.75" customHeight="1">
      <c r="D663" s="4" t="n"/>
      <c r="E663" s="4" t="n"/>
    </row>
    <row r="664" ht="15.75" customHeight="1">
      <c r="D664" s="4" t="n"/>
      <c r="E664" s="4" t="n"/>
    </row>
    <row r="665" ht="15.75" customHeight="1">
      <c r="D665" s="4" t="n"/>
      <c r="E665" s="4" t="n"/>
    </row>
    <row r="666" ht="15.75" customHeight="1">
      <c r="D666" s="4" t="n"/>
      <c r="E666" s="4" t="n"/>
    </row>
    <row r="667" ht="15.75" customHeight="1">
      <c r="D667" s="4" t="n"/>
      <c r="E667" s="4" t="n"/>
    </row>
    <row r="668" ht="15.75" customHeight="1">
      <c r="D668" s="4" t="n"/>
      <c r="E668" s="4" t="n"/>
    </row>
    <row r="669" ht="15.75" customHeight="1">
      <c r="D669" s="4" t="n"/>
      <c r="E669" s="4" t="n"/>
    </row>
    <row r="670" ht="15.75" customHeight="1">
      <c r="D670" s="4" t="n"/>
      <c r="E670" s="4" t="n"/>
    </row>
    <row r="671" ht="15.75" customHeight="1">
      <c r="D671" s="4" t="n"/>
      <c r="E671" s="4" t="n"/>
    </row>
    <row r="672" ht="15.75" customHeight="1">
      <c r="D672" s="4" t="n"/>
      <c r="E672" s="4" t="n"/>
    </row>
    <row r="673" ht="15.75" customHeight="1">
      <c r="D673" s="4" t="n"/>
      <c r="E673" s="4" t="n"/>
    </row>
    <row r="674" ht="15.75" customHeight="1">
      <c r="D674" s="4" t="n"/>
      <c r="E674" s="4" t="n"/>
    </row>
    <row r="675" ht="15.75" customHeight="1">
      <c r="D675" s="4" t="n"/>
      <c r="E675" s="4" t="n"/>
    </row>
    <row r="676" ht="15.75" customHeight="1">
      <c r="D676" s="4" t="n"/>
      <c r="E676" s="4" t="n"/>
    </row>
    <row r="677" ht="15.75" customHeight="1">
      <c r="D677" s="4" t="n"/>
      <c r="E677" s="4" t="n"/>
    </row>
    <row r="678" ht="15.75" customHeight="1">
      <c r="D678" s="4" t="n"/>
      <c r="E678" s="4" t="n"/>
    </row>
    <row r="679" ht="15.75" customHeight="1">
      <c r="D679" s="4" t="n"/>
      <c r="E679" s="4" t="n"/>
    </row>
    <row r="680" ht="15.75" customHeight="1">
      <c r="D680" s="4" t="n"/>
      <c r="E680" s="4" t="n"/>
    </row>
    <row r="681" ht="15.75" customHeight="1">
      <c r="D681" s="4" t="n"/>
      <c r="E681" s="4" t="n"/>
    </row>
    <row r="682" ht="15.75" customHeight="1">
      <c r="D682" s="4" t="n"/>
      <c r="E682" s="4" t="n"/>
    </row>
    <row r="683" ht="15.75" customHeight="1">
      <c r="D683" s="4" t="n"/>
      <c r="E683" s="4" t="n"/>
    </row>
    <row r="684" ht="15.75" customHeight="1">
      <c r="D684" s="4" t="n"/>
      <c r="E684" s="4" t="n"/>
    </row>
    <row r="685" ht="15.75" customHeight="1">
      <c r="D685" s="4" t="n"/>
      <c r="E685" s="4" t="n"/>
    </row>
    <row r="686" ht="15.75" customHeight="1">
      <c r="D686" s="4" t="n"/>
      <c r="E686" s="4" t="n"/>
    </row>
    <row r="687" ht="15.75" customHeight="1">
      <c r="D687" s="4" t="n"/>
      <c r="E687" s="4" t="n"/>
    </row>
    <row r="688" ht="15.75" customHeight="1">
      <c r="D688" s="4" t="n"/>
      <c r="E688" s="4" t="n"/>
    </row>
    <row r="689" ht="15.75" customHeight="1">
      <c r="D689" s="4" t="n"/>
      <c r="E689" s="4" t="n"/>
    </row>
    <row r="690" ht="15.75" customHeight="1">
      <c r="D690" s="4" t="n"/>
      <c r="E690" s="4" t="n"/>
    </row>
    <row r="691" ht="15.75" customHeight="1">
      <c r="D691" s="4" t="n"/>
      <c r="E691" s="4" t="n"/>
    </row>
    <row r="692" ht="15.75" customHeight="1">
      <c r="D692" s="4" t="n"/>
      <c r="E692" s="4" t="n"/>
    </row>
    <row r="693" ht="15.75" customHeight="1">
      <c r="D693" s="4" t="n"/>
      <c r="E693" s="4" t="n"/>
    </row>
    <row r="694" ht="15.75" customHeight="1">
      <c r="D694" s="4" t="n"/>
      <c r="E694" s="4" t="n"/>
    </row>
    <row r="695" ht="15.75" customHeight="1">
      <c r="D695" s="4" t="n"/>
      <c r="E695" s="4" t="n"/>
    </row>
    <row r="696" ht="15.75" customHeight="1">
      <c r="D696" s="4" t="n"/>
      <c r="E696" s="4" t="n"/>
    </row>
    <row r="697" ht="15.75" customHeight="1">
      <c r="D697" s="4" t="n"/>
      <c r="E697" s="4" t="n"/>
    </row>
    <row r="698" ht="15.75" customHeight="1">
      <c r="D698" s="4" t="n"/>
      <c r="E698" s="4" t="n"/>
    </row>
    <row r="699" ht="15.75" customHeight="1">
      <c r="D699" s="4" t="n"/>
      <c r="E699" s="4" t="n"/>
    </row>
    <row r="700" ht="15.75" customHeight="1">
      <c r="D700" s="4" t="n"/>
      <c r="E700" s="4" t="n"/>
    </row>
    <row r="701" ht="15.75" customHeight="1">
      <c r="D701" s="4" t="n"/>
      <c r="E701" s="4" t="n"/>
    </row>
    <row r="702" ht="15.75" customHeight="1">
      <c r="D702" s="4" t="n"/>
      <c r="E702" s="4" t="n"/>
    </row>
    <row r="703" ht="15.75" customHeight="1">
      <c r="D703" s="4" t="n"/>
      <c r="E703" s="4" t="n"/>
    </row>
    <row r="704" ht="15.75" customHeight="1">
      <c r="D704" s="4" t="n"/>
      <c r="E704" s="4" t="n"/>
    </row>
    <row r="705" ht="15.75" customHeight="1">
      <c r="D705" s="4" t="n"/>
      <c r="E705" s="4" t="n"/>
    </row>
    <row r="706" ht="15.75" customHeight="1">
      <c r="D706" s="4" t="n"/>
      <c r="E706" s="4" t="n"/>
    </row>
    <row r="707" ht="15.75" customHeight="1">
      <c r="D707" s="4" t="n"/>
      <c r="E707" s="4" t="n"/>
    </row>
    <row r="708" ht="15.75" customHeight="1">
      <c r="D708" s="4" t="n"/>
      <c r="E708" s="4" t="n"/>
    </row>
    <row r="709" ht="15.75" customHeight="1">
      <c r="D709" s="4" t="n"/>
      <c r="E709" s="4" t="n"/>
    </row>
    <row r="710" ht="15.75" customHeight="1">
      <c r="D710" s="4" t="n"/>
      <c r="E710" s="4" t="n"/>
    </row>
    <row r="711" ht="15.75" customHeight="1">
      <c r="D711" s="4" t="n"/>
      <c r="E711" s="4" t="n"/>
    </row>
    <row r="712" ht="15.75" customHeight="1">
      <c r="D712" s="4" t="n"/>
      <c r="E712" s="4" t="n"/>
    </row>
    <row r="713" ht="15.75" customHeight="1">
      <c r="D713" s="4" t="n"/>
      <c r="E713" s="4" t="n"/>
    </row>
    <row r="714" ht="15.75" customHeight="1">
      <c r="D714" s="4" t="n"/>
      <c r="E714" s="4" t="n"/>
    </row>
    <row r="715" ht="15.75" customHeight="1">
      <c r="D715" s="4" t="n"/>
      <c r="E715" s="4" t="n"/>
    </row>
    <row r="716" ht="15.75" customHeight="1">
      <c r="D716" s="4" t="n"/>
      <c r="E716" s="4" t="n"/>
    </row>
    <row r="717" ht="15.75" customHeight="1">
      <c r="D717" s="4" t="n"/>
      <c r="E717" s="4" t="n"/>
    </row>
    <row r="718" ht="15.75" customHeight="1">
      <c r="D718" s="4" t="n"/>
      <c r="E718" s="4" t="n"/>
    </row>
    <row r="719" ht="15.75" customHeight="1">
      <c r="D719" s="4" t="n"/>
      <c r="E719" s="4" t="n"/>
    </row>
    <row r="720" ht="15.75" customHeight="1">
      <c r="D720" s="4" t="n"/>
      <c r="E720" s="4" t="n"/>
    </row>
    <row r="721" ht="15.75" customHeight="1">
      <c r="D721" s="4" t="n"/>
      <c r="E721" s="4" t="n"/>
    </row>
    <row r="722" ht="15.75" customHeight="1">
      <c r="D722" s="4" t="n"/>
      <c r="E722" s="4" t="n"/>
    </row>
    <row r="723" ht="15.75" customHeight="1">
      <c r="D723" s="4" t="n"/>
      <c r="E723" s="4" t="n"/>
    </row>
    <row r="724" ht="15.75" customHeight="1">
      <c r="D724" s="4" t="n"/>
      <c r="E724" s="4" t="n"/>
    </row>
    <row r="725" ht="15.75" customHeight="1">
      <c r="D725" s="4" t="n"/>
      <c r="E725" s="4" t="n"/>
    </row>
    <row r="726" ht="15.75" customHeight="1">
      <c r="D726" s="4" t="n"/>
      <c r="E726" s="4" t="n"/>
    </row>
    <row r="727" ht="15.75" customHeight="1">
      <c r="D727" s="4" t="n"/>
      <c r="E727" s="4" t="n"/>
    </row>
    <row r="728" ht="15.75" customHeight="1">
      <c r="D728" s="4" t="n"/>
      <c r="E728" s="4" t="n"/>
    </row>
    <row r="729" ht="15.75" customHeight="1">
      <c r="D729" s="4" t="n"/>
      <c r="E729" s="4" t="n"/>
    </row>
    <row r="730" ht="15.75" customHeight="1">
      <c r="D730" s="4" t="n"/>
      <c r="E730" s="4" t="n"/>
    </row>
    <row r="731" ht="15.75" customHeight="1">
      <c r="D731" s="4" t="n"/>
      <c r="E731" s="4" t="n"/>
    </row>
    <row r="732" ht="15.75" customHeight="1">
      <c r="D732" s="4" t="n"/>
      <c r="E732" s="4" t="n"/>
    </row>
    <row r="733" ht="15.75" customHeight="1">
      <c r="D733" s="4" t="n"/>
      <c r="E733" s="4" t="n"/>
    </row>
    <row r="734" ht="15.75" customHeight="1">
      <c r="D734" s="4" t="n"/>
      <c r="E734" s="4" t="n"/>
    </row>
    <row r="735" ht="15.75" customHeight="1">
      <c r="D735" s="4" t="n"/>
      <c r="E735" s="4" t="n"/>
    </row>
    <row r="736" ht="15.75" customHeight="1">
      <c r="D736" s="4" t="n"/>
      <c r="E736" s="4" t="n"/>
    </row>
    <row r="737" ht="15.75" customHeight="1">
      <c r="D737" s="4" t="n"/>
      <c r="E737" s="4" t="n"/>
    </row>
    <row r="738" ht="15.75" customHeight="1">
      <c r="D738" s="4" t="n"/>
      <c r="E738" s="4" t="n"/>
    </row>
    <row r="739" ht="15.75" customHeight="1">
      <c r="D739" s="4" t="n"/>
      <c r="E739" s="4" t="n"/>
    </row>
    <row r="740" ht="15.75" customHeight="1">
      <c r="D740" s="4" t="n"/>
      <c r="E740" s="4" t="n"/>
    </row>
    <row r="741" ht="15.75" customHeight="1">
      <c r="D741" s="4" t="n"/>
      <c r="E741" s="4" t="n"/>
    </row>
    <row r="742" ht="15.75" customHeight="1">
      <c r="D742" s="4" t="n"/>
      <c r="E742" s="4" t="n"/>
    </row>
    <row r="743" ht="15.75" customHeight="1">
      <c r="D743" s="4" t="n"/>
      <c r="E743" s="4" t="n"/>
    </row>
    <row r="744" ht="15.75" customHeight="1">
      <c r="D744" s="4" t="n"/>
      <c r="E744" s="4" t="n"/>
    </row>
    <row r="745" ht="15.75" customHeight="1">
      <c r="D745" s="4" t="n"/>
      <c r="E745" s="4" t="n"/>
    </row>
    <row r="746" ht="15.75" customHeight="1">
      <c r="D746" s="4" t="n"/>
      <c r="E746" s="4" t="n"/>
    </row>
    <row r="747" ht="15.75" customHeight="1">
      <c r="D747" s="4" t="n"/>
      <c r="E747" s="4" t="n"/>
    </row>
    <row r="748" ht="15.75" customHeight="1">
      <c r="D748" s="4" t="n"/>
      <c r="E748" s="4" t="n"/>
    </row>
    <row r="749" ht="15.75" customHeight="1">
      <c r="D749" s="4" t="n"/>
      <c r="E749" s="4" t="n"/>
    </row>
    <row r="750" ht="15.75" customHeight="1">
      <c r="D750" s="4" t="n"/>
      <c r="E750" s="4" t="n"/>
    </row>
    <row r="751" ht="15.75" customHeight="1">
      <c r="D751" s="4" t="n"/>
      <c r="E751" s="4" t="n"/>
    </row>
    <row r="752" ht="15.75" customHeight="1">
      <c r="D752" s="4" t="n"/>
      <c r="E752" s="4" t="n"/>
    </row>
    <row r="753" ht="15.75" customHeight="1">
      <c r="D753" s="4" t="n"/>
      <c r="E753" s="4" t="n"/>
    </row>
    <row r="754" ht="15.75" customHeight="1">
      <c r="D754" s="4" t="n"/>
      <c r="E754" s="4" t="n"/>
    </row>
    <row r="755" ht="15.75" customHeight="1">
      <c r="D755" s="4" t="n"/>
      <c r="E755" s="4" t="n"/>
    </row>
    <row r="756" ht="15.75" customHeight="1">
      <c r="D756" s="4" t="n"/>
      <c r="E756" s="4" t="n"/>
    </row>
    <row r="757" ht="15.75" customHeight="1">
      <c r="D757" s="4" t="n"/>
      <c r="E757" s="4" t="n"/>
    </row>
    <row r="758" ht="15.75" customHeight="1">
      <c r="D758" s="4" t="n"/>
      <c r="E758" s="4" t="n"/>
    </row>
    <row r="759" ht="15.75" customHeight="1">
      <c r="D759" s="4" t="n"/>
      <c r="E759" s="4" t="n"/>
    </row>
    <row r="760" ht="15.75" customHeight="1">
      <c r="D760" s="4" t="n"/>
      <c r="E760" s="4" t="n"/>
    </row>
    <row r="761" ht="15.75" customHeight="1">
      <c r="D761" s="4" t="n"/>
      <c r="E761" s="4" t="n"/>
    </row>
    <row r="762" ht="15.75" customHeight="1">
      <c r="D762" s="4" t="n"/>
      <c r="E762" s="4" t="n"/>
    </row>
    <row r="763" ht="15.75" customHeight="1">
      <c r="D763" s="4" t="n"/>
      <c r="E763" s="4" t="n"/>
    </row>
    <row r="764" ht="15.75" customHeight="1">
      <c r="D764" s="4" t="n"/>
      <c r="E764" s="4" t="n"/>
    </row>
    <row r="765" ht="15.75" customHeight="1">
      <c r="D765" s="4" t="n"/>
      <c r="E765" s="4" t="n"/>
    </row>
    <row r="766" ht="15.75" customHeight="1">
      <c r="D766" s="4" t="n"/>
      <c r="E766" s="4" t="n"/>
    </row>
    <row r="767" ht="15.75" customHeight="1">
      <c r="D767" s="4" t="n"/>
      <c r="E767" s="4" t="n"/>
    </row>
    <row r="768" ht="15.75" customHeight="1">
      <c r="D768" s="4" t="n"/>
      <c r="E768" s="4" t="n"/>
    </row>
    <row r="769" ht="15.75" customHeight="1">
      <c r="D769" s="4" t="n"/>
      <c r="E769" s="4" t="n"/>
    </row>
    <row r="770" ht="15.75" customHeight="1">
      <c r="D770" s="4" t="n"/>
      <c r="E770" s="4" t="n"/>
    </row>
    <row r="771" ht="15.75" customHeight="1">
      <c r="D771" s="4" t="n"/>
      <c r="E771" s="4" t="n"/>
    </row>
    <row r="772" ht="15.75" customHeight="1">
      <c r="D772" s="4" t="n"/>
      <c r="E772" s="4" t="n"/>
    </row>
    <row r="773" ht="15.75" customHeight="1">
      <c r="D773" s="4" t="n"/>
      <c r="E773" s="4" t="n"/>
    </row>
    <row r="774" ht="15.75" customHeight="1">
      <c r="D774" s="4" t="n"/>
      <c r="E774" s="4" t="n"/>
    </row>
    <row r="775" ht="15.75" customHeight="1">
      <c r="D775" s="4" t="n"/>
      <c r="E775" s="4" t="n"/>
    </row>
    <row r="776" ht="15.75" customHeight="1">
      <c r="D776" s="4" t="n"/>
      <c r="E776" s="4" t="n"/>
    </row>
    <row r="777" ht="15.75" customHeight="1">
      <c r="D777" s="4" t="n"/>
      <c r="E777" s="4" t="n"/>
    </row>
    <row r="778" ht="15.75" customHeight="1">
      <c r="D778" s="4" t="n"/>
      <c r="E778" s="4" t="n"/>
    </row>
    <row r="779" ht="15.75" customHeight="1">
      <c r="D779" s="4" t="n"/>
      <c r="E779" s="4" t="n"/>
    </row>
    <row r="780" ht="15.75" customHeight="1">
      <c r="D780" s="4" t="n"/>
      <c r="E780" s="4" t="n"/>
    </row>
    <row r="781" ht="15.75" customHeight="1">
      <c r="D781" s="4" t="n"/>
      <c r="E781" s="4" t="n"/>
    </row>
    <row r="782" ht="15.75" customHeight="1">
      <c r="D782" s="4" t="n"/>
      <c r="E782" s="4" t="n"/>
    </row>
    <row r="783" ht="15.75" customHeight="1">
      <c r="D783" s="4" t="n"/>
      <c r="E783" s="4" t="n"/>
    </row>
    <row r="784" ht="15.75" customHeight="1">
      <c r="D784" s="4" t="n"/>
      <c r="E784" s="4" t="n"/>
    </row>
    <row r="785" ht="15.75" customHeight="1">
      <c r="D785" s="4" t="n"/>
      <c r="E785" s="4" t="n"/>
    </row>
    <row r="786" ht="15.75" customHeight="1">
      <c r="D786" s="4" t="n"/>
      <c r="E786" s="4" t="n"/>
    </row>
    <row r="787" ht="15.75" customHeight="1">
      <c r="D787" s="4" t="n"/>
      <c r="E787" s="4" t="n"/>
    </row>
    <row r="788" ht="15.75" customHeight="1">
      <c r="D788" s="4" t="n"/>
      <c r="E788" s="4" t="n"/>
    </row>
    <row r="789" ht="15.75" customHeight="1">
      <c r="D789" s="4" t="n"/>
      <c r="E789" s="4" t="n"/>
    </row>
    <row r="790" ht="15.75" customHeight="1">
      <c r="D790" s="4" t="n"/>
      <c r="E790" s="4" t="n"/>
    </row>
    <row r="791" ht="15.75" customHeight="1">
      <c r="D791" s="4" t="n"/>
      <c r="E791" s="4" t="n"/>
    </row>
    <row r="792" ht="15.75" customHeight="1">
      <c r="D792" s="4" t="n"/>
      <c r="E792" s="4" t="n"/>
    </row>
    <row r="793" ht="15.75" customHeight="1">
      <c r="D793" s="4" t="n"/>
      <c r="E793" s="4" t="n"/>
    </row>
    <row r="794" ht="15.75" customHeight="1">
      <c r="D794" s="4" t="n"/>
      <c r="E794" s="4" t="n"/>
    </row>
    <row r="795" ht="15.75" customHeight="1">
      <c r="D795" s="4" t="n"/>
      <c r="E795" s="4" t="n"/>
    </row>
    <row r="796" ht="15.75" customHeight="1">
      <c r="D796" s="4" t="n"/>
      <c r="E796" s="4" t="n"/>
    </row>
    <row r="797" ht="15.75" customHeight="1">
      <c r="D797" s="4" t="n"/>
      <c r="E797" s="4" t="n"/>
    </row>
    <row r="798" ht="15.75" customHeight="1">
      <c r="D798" s="4" t="n"/>
      <c r="E798" s="4" t="n"/>
    </row>
    <row r="799" ht="15.75" customHeight="1">
      <c r="D799" s="4" t="n"/>
      <c r="E799" s="4" t="n"/>
    </row>
    <row r="800" ht="15.75" customHeight="1">
      <c r="D800" s="4" t="n"/>
      <c r="E800" s="4" t="n"/>
    </row>
    <row r="801" ht="15.75" customHeight="1">
      <c r="D801" s="4" t="n"/>
      <c r="E801" s="4" t="n"/>
    </row>
    <row r="802" ht="15.75" customHeight="1">
      <c r="D802" s="4" t="n"/>
      <c r="E802" s="4" t="n"/>
    </row>
    <row r="803" ht="15.75" customHeight="1">
      <c r="D803" s="4" t="n"/>
      <c r="E803" s="4" t="n"/>
    </row>
    <row r="804" ht="15.75" customHeight="1">
      <c r="D804" s="4" t="n"/>
      <c r="E804" s="4" t="n"/>
    </row>
    <row r="805" ht="15.75" customHeight="1">
      <c r="D805" s="4" t="n"/>
      <c r="E805" s="4" t="n"/>
    </row>
    <row r="806" ht="15.75" customHeight="1">
      <c r="D806" s="4" t="n"/>
      <c r="E806" s="4" t="n"/>
    </row>
    <row r="807" ht="15.75" customHeight="1">
      <c r="D807" s="4" t="n"/>
      <c r="E807" s="4" t="n"/>
    </row>
    <row r="808" ht="15.75" customHeight="1">
      <c r="D808" s="4" t="n"/>
      <c r="E808" s="4" t="n"/>
    </row>
    <row r="809" ht="15.75" customHeight="1">
      <c r="D809" s="4" t="n"/>
      <c r="E809" s="4" t="n"/>
    </row>
    <row r="810" ht="15.75" customHeight="1">
      <c r="D810" s="4" t="n"/>
      <c r="E810" s="4" t="n"/>
    </row>
    <row r="811" ht="15.75" customHeight="1">
      <c r="D811" s="4" t="n"/>
      <c r="E811" s="4" t="n"/>
    </row>
    <row r="812" ht="15.75" customHeight="1">
      <c r="D812" s="4" t="n"/>
      <c r="E812" s="4" t="n"/>
    </row>
    <row r="813" ht="15.75" customHeight="1">
      <c r="D813" s="4" t="n"/>
      <c r="E813" s="4" t="n"/>
    </row>
    <row r="814" ht="15.75" customHeight="1">
      <c r="D814" s="4" t="n"/>
      <c r="E814" s="4" t="n"/>
    </row>
    <row r="815" ht="15.75" customHeight="1">
      <c r="D815" s="4" t="n"/>
      <c r="E815" s="4" t="n"/>
    </row>
    <row r="816" ht="15.75" customHeight="1">
      <c r="D816" s="4" t="n"/>
      <c r="E816" s="4" t="n"/>
    </row>
    <row r="817" ht="15.75" customHeight="1">
      <c r="D817" s="4" t="n"/>
      <c r="E817" s="4" t="n"/>
    </row>
    <row r="818" ht="15.75" customHeight="1">
      <c r="D818" s="4" t="n"/>
      <c r="E818" s="4" t="n"/>
    </row>
    <row r="819" ht="15.75" customHeight="1">
      <c r="D819" s="4" t="n"/>
      <c r="E819" s="4" t="n"/>
    </row>
    <row r="820" ht="15.75" customHeight="1">
      <c r="D820" s="4" t="n"/>
      <c r="E820" s="4" t="n"/>
    </row>
    <row r="821" ht="15.75" customHeight="1">
      <c r="D821" s="4" t="n"/>
      <c r="E821" s="4" t="n"/>
    </row>
    <row r="822" ht="15.75" customHeight="1">
      <c r="D822" s="4" t="n"/>
      <c r="E822" s="4" t="n"/>
    </row>
    <row r="823" ht="15.75" customHeight="1">
      <c r="D823" s="4" t="n"/>
      <c r="E823" s="4" t="n"/>
    </row>
    <row r="824" ht="15.75" customHeight="1">
      <c r="D824" s="4" t="n"/>
      <c r="E824" s="4" t="n"/>
    </row>
    <row r="825" ht="15.75" customHeight="1">
      <c r="D825" s="4" t="n"/>
      <c r="E825" s="4" t="n"/>
    </row>
    <row r="826" ht="15.75" customHeight="1">
      <c r="D826" s="4" t="n"/>
      <c r="E826" s="4" t="n"/>
    </row>
    <row r="827" ht="15.75" customHeight="1">
      <c r="D827" s="4" t="n"/>
      <c r="E827" s="4" t="n"/>
    </row>
    <row r="828" ht="15.75" customHeight="1">
      <c r="D828" s="4" t="n"/>
      <c r="E828" s="4" t="n"/>
    </row>
    <row r="829" ht="15.75" customHeight="1">
      <c r="D829" s="4" t="n"/>
      <c r="E829" s="4" t="n"/>
    </row>
    <row r="830" ht="15.75" customHeight="1">
      <c r="D830" s="4" t="n"/>
      <c r="E830" s="4" t="n"/>
    </row>
    <row r="831" ht="15.75" customHeight="1">
      <c r="D831" s="4" t="n"/>
      <c r="E831" s="4" t="n"/>
    </row>
    <row r="832" ht="15.75" customHeight="1">
      <c r="D832" s="4" t="n"/>
      <c r="E832" s="4" t="n"/>
    </row>
    <row r="833" ht="15.75" customHeight="1">
      <c r="D833" s="4" t="n"/>
      <c r="E833" s="4" t="n"/>
    </row>
    <row r="834" ht="15.75" customHeight="1">
      <c r="D834" s="4" t="n"/>
      <c r="E834" s="4" t="n"/>
    </row>
    <row r="835" ht="15.75" customHeight="1">
      <c r="D835" s="4" t="n"/>
      <c r="E835" s="4" t="n"/>
    </row>
    <row r="836" ht="15.75" customHeight="1">
      <c r="D836" s="4" t="n"/>
      <c r="E836" s="4" t="n"/>
    </row>
    <row r="837" ht="15.75" customHeight="1">
      <c r="D837" s="4" t="n"/>
      <c r="E837" s="4" t="n"/>
    </row>
    <row r="838" ht="15.75" customHeight="1">
      <c r="D838" s="4" t="n"/>
      <c r="E838" s="4" t="n"/>
    </row>
    <row r="839" ht="15.75" customHeight="1">
      <c r="D839" s="4" t="n"/>
      <c r="E839" s="4" t="n"/>
    </row>
    <row r="840" ht="15.75" customHeight="1">
      <c r="D840" s="4" t="n"/>
      <c r="E840" s="4" t="n"/>
    </row>
    <row r="841" ht="15.75" customHeight="1">
      <c r="D841" s="4" t="n"/>
      <c r="E841" s="4" t="n"/>
    </row>
    <row r="842" ht="15.75" customHeight="1">
      <c r="D842" s="4" t="n"/>
      <c r="E842" s="4" t="n"/>
    </row>
    <row r="843" ht="15.75" customHeight="1">
      <c r="D843" s="4" t="n"/>
      <c r="E843" s="4" t="n"/>
    </row>
    <row r="844" ht="15.75" customHeight="1">
      <c r="D844" s="4" t="n"/>
      <c r="E844" s="4" t="n"/>
    </row>
    <row r="845" ht="15.75" customHeight="1">
      <c r="D845" s="4" t="n"/>
      <c r="E845" s="4" t="n"/>
    </row>
    <row r="846" ht="15.75" customHeight="1">
      <c r="D846" s="4" t="n"/>
      <c r="E846" s="4" t="n"/>
    </row>
    <row r="847" ht="15.75" customHeight="1">
      <c r="D847" s="4" t="n"/>
      <c r="E847" s="4" t="n"/>
    </row>
    <row r="848" ht="15.75" customHeight="1">
      <c r="D848" s="4" t="n"/>
      <c r="E848" s="4" t="n"/>
    </row>
    <row r="849" ht="15.75" customHeight="1">
      <c r="D849" s="4" t="n"/>
      <c r="E849" s="4" t="n"/>
    </row>
    <row r="850" ht="15.75" customHeight="1">
      <c r="D850" s="4" t="n"/>
      <c r="E850" s="4" t="n"/>
    </row>
    <row r="851" ht="15.75" customHeight="1">
      <c r="D851" s="4" t="n"/>
      <c r="E851" s="4" t="n"/>
    </row>
    <row r="852" ht="15.75" customHeight="1">
      <c r="D852" s="4" t="n"/>
      <c r="E852" s="4" t="n"/>
    </row>
    <row r="853" ht="15.75" customHeight="1">
      <c r="D853" s="4" t="n"/>
      <c r="E853" s="4" t="n"/>
    </row>
    <row r="854" ht="15.75" customHeight="1">
      <c r="D854" s="4" t="n"/>
      <c r="E854" s="4" t="n"/>
    </row>
    <row r="855" ht="15.75" customHeight="1">
      <c r="D855" s="4" t="n"/>
      <c r="E855" s="4" t="n"/>
    </row>
    <row r="856" ht="15.75" customHeight="1">
      <c r="D856" s="4" t="n"/>
      <c r="E856" s="4" t="n"/>
    </row>
    <row r="857" ht="15.75" customHeight="1">
      <c r="D857" s="4" t="n"/>
      <c r="E857" s="4" t="n"/>
    </row>
    <row r="858" ht="15.75" customHeight="1">
      <c r="D858" s="4" t="n"/>
      <c r="E858" s="4" t="n"/>
    </row>
    <row r="859" ht="15.75" customHeight="1">
      <c r="D859" s="4" t="n"/>
      <c r="E859" s="4" t="n"/>
    </row>
    <row r="860" ht="15.75" customHeight="1">
      <c r="D860" s="4" t="n"/>
      <c r="E860" s="4" t="n"/>
    </row>
    <row r="861" ht="15.75" customHeight="1">
      <c r="D861" s="4" t="n"/>
      <c r="E861" s="4" t="n"/>
    </row>
    <row r="862" ht="15.75" customHeight="1">
      <c r="D862" s="4" t="n"/>
      <c r="E862" s="4" t="n"/>
    </row>
    <row r="863" ht="15.75" customHeight="1">
      <c r="D863" s="4" t="n"/>
      <c r="E863" s="4" t="n"/>
    </row>
    <row r="864" ht="15.75" customHeight="1">
      <c r="D864" s="4" t="n"/>
      <c r="E864" s="4" t="n"/>
    </row>
    <row r="865" ht="15.75" customHeight="1">
      <c r="D865" s="4" t="n"/>
      <c r="E865" s="4" t="n"/>
    </row>
    <row r="866" ht="15.75" customHeight="1">
      <c r="D866" s="4" t="n"/>
      <c r="E866" s="4" t="n"/>
    </row>
    <row r="867" ht="15.75" customHeight="1">
      <c r="D867" s="4" t="n"/>
      <c r="E867" s="4" t="n"/>
    </row>
    <row r="868" ht="15.75" customHeight="1">
      <c r="D868" s="4" t="n"/>
      <c r="E868" s="4" t="n"/>
    </row>
    <row r="869" ht="15.75" customHeight="1">
      <c r="D869" s="4" t="n"/>
      <c r="E869" s="4" t="n"/>
    </row>
    <row r="870" ht="15.75" customHeight="1">
      <c r="D870" s="4" t="n"/>
      <c r="E870" s="4" t="n"/>
    </row>
    <row r="871" ht="15.75" customHeight="1">
      <c r="D871" s="4" t="n"/>
      <c r="E871" s="4" t="n"/>
    </row>
    <row r="872" ht="15.75" customHeight="1">
      <c r="D872" s="4" t="n"/>
      <c r="E872" s="4" t="n"/>
    </row>
    <row r="873" ht="15.75" customHeight="1">
      <c r="D873" s="4" t="n"/>
      <c r="E873" s="4" t="n"/>
    </row>
    <row r="874" ht="15.75" customHeight="1">
      <c r="D874" s="4" t="n"/>
      <c r="E874" s="4" t="n"/>
    </row>
    <row r="875" ht="15.75" customHeight="1">
      <c r="D875" s="4" t="n"/>
      <c r="E875" s="4" t="n"/>
    </row>
    <row r="876" ht="15.75" customHeight="1">
      <c r="D876" s="4" t="n"/>
      <c r="E876" s="4" t="n"/>
    </row>
    <row r="877" ht="15.75" customHeight="1">
      <c r="D877" s="4" t="n"/>
      <c r="E877" s="4" t="n"/>
    </row>
    <row r="878" ht="15.75" customHeight="1">
      <c r="D878" s="4" t="n"/>
      <c r="E878" s="4" t="n"/>
    </row>
    <row r="879" ht="15.75" customHeight="1">
      <c r="D879" s="4" t="n"/>
      <c r="E879" s="4" t="n"/>
    </row>
    <row r="880" ht="15.75" customHeight="1">
      <c r="D880" s="4" t="n"/>
      <c r="E880" s="4" t="n"/>
    </row>
    <row r="881" ht="15.75" customHeight="1">
      <c r="D881" s="4" t="n"/>
      <c r="E881" s="4" t="n"/>
    </row>
    <row r="882" ht="15.75" customHeight="1">
      <c r="D882" s="4" t="n"/>
      <c r="E882" s="4" t="n"/>
    </row>
    <row r="883" ht="15.75" customHeight="1">
      <c r="D883" s="4" t="n"/>
      <c r="E883" s="4" t="n"/>
    </row>
    <row r="884" ht="15.75" customHeight="1">
      <c r="D884" s="4" t="n"/>
      <c r="E884" s="4" t="n"/>
    </row>
    <row r="885" ht="15.75" customHeight="1">
      <c r="D885" s="4" t="n"/>
      <c r="E885" s="4" t="n"/>
    </row>
    <row r="886" ht="15.75" customHeight="1">
      <c r="D886" s="4" t="n"/>
      <c r="E886" s="4" t="n"/>
    </row>
    <row r="887" ht="15.75" customHeight="1">
      <c r="D887" s="4" t="n"/>
      <c r="E887" s="4" t="n"/>
    </row>
    <row r="888" ht="15.75" customHeight="1">
      <c r="D888" s="4" t="n"/>
      <c r="E888" s="4" t="n"/>
    </row>
    <row r="889" ht="15.75" customHeight="1">
      <c r="D889" s="4" t="n"/>
      <c r="E889" s="4" t="n"/>
    </row>
    <row r="890" ht="15.75" customHeight="1">
      <c r="D890" s="4" t="n"/>
      <c r="E890" s="4" t="n"/>
    </row>
    <row r="891" ht="15.75" customHeight="1">
      <c r="D891" s="4" t="n"/>
      <c r="E891" s="4" t="n"/>
    </row>
    <row r="892" ht="15.75" customHeight="1">
      <c r="D892" s="4" t="n"/>
      <c r="E892" s="4" t="n"/>
    </row>
    <row r="893" ht="15.75" customHeight="1">
      <c r="D893" s="4" t="n"/>
      <c r="E893" s="4" t="n"/>
    </row>
    <row r="894" ht="15.75" customHeight="1">
      <c r="D894" s="4" t="n"/>
      <c r="E894" s="4" t="n"/>
    </row>
    <row r="895" ht="15.75" customHeight="1">
      <c r="D895" s="4" t="n"/>
      <c r="E895" s="4" t="n"/>
    </row>
    <row r="896" ht="15.75" customHeight="1">
      <c r="D896" s="4" t="n"/>
      <c r="E896" s="4" t="n"/>
    </row>
    <row r="897" ht="15.75" customHeight="1">
      <c r="D897" s="4" t="n"/>
      <c r="E897" s="4" t="n"/>
    </row>
    <row r="898" ht="15.75" customHeight="1">
      <c r="D898" s="4" t="n"/>
      <c r="E898" s="4" t="n"/>
    </row>
    <row r="899" ht="15.75" customHeight="1">
      <c r="D899" s="4" t="n"/>
      <c r="E899" s="4" t="n"/>
    </row>
    <row r="900" ht="15.75" customHeight="1">
      <c r="D900" s="4" t="n"/>
      <c r="E900" s="4" t="n"/>
    </row>
    <row r="901" ht="15.75" customHeight="1">
      <c r="D901" s="4" t="n"/>
      <c r="E901" s="4" t="n"/>
    </row>
    <row r="902" ht="15.75" customHeight="1">
      <c r="D902" s="4" t="n"/>
      <c r="E902" s="4" t="n"/>
    </row>
    <row r="903" ht="15.75" customHeight="1">
      <c r="D903" s="4" t="n"/>
      <c r="E903" s="4" t="n"/>
    </row>
    <row r="904" ht="15.75" customHeight="1">
      <c r="D904" s="4" t="n"/>
      <c r="E904" s="4" t="n"/>
    </row>
    <row r="905" ht="15.75" customHeight="1">
      <c r="D905" s="4" t="n"/>
      <c r="E905" s="4" t="n"/>
    </row>
    <row r="906" ht="15.75" customHeight="1">
      <c r="D906" s="4" t="n"/>
      <c r="E906" s="4" t="n"/>
    </row>
    <row r="907" ht="15.75" customHeight="1">
      <c r="D907" s="4" t="n"/>
      <c r="E907" s="4" t="n"/>
    </row>
    <row r="908" ht="15.75" customHeight="1">
      <c r="D908" s="4" t="n"/>
      <c r="E908" s="4" t="n"/>
    </row>
    <row r="909" ht="15.75" customHeight="1">
      <c r="D909" s="4" t="n"/>
      <c r="E909" s="4" t="n"/>
    </row>
    <row r="910" ht="15.75" customHeight="1">
      <c r="D910" s="4" t="n"/>
      <c r="E910" s="4" t="n"/>
    </row>
    <row r="911" ht="15.75" customHeight="1">
      <c r="D911" s="4" t="n"/>
      <c r="E911" s="4" t="n"/>
    </row>
    <row r="912" ht="15.75" customHeight="1">
      <c r="D912" s="4" t="n"/>
      <c r="E912" s="4" t="n"/>
    </row>
    <row r="913" ht="15.75" customHeight="1">
      <c r="D913" s="4" t="n"/>
      <c r="E913" s="4" t="n"/>
    </row>
    <row r="914" ht="15.75" customHeight="1">
      <c r="D914" s="4" t="n"/>
      <c r="E914" s="4" t="n"/>
    </row>
    <row r="915" ht="15.75" customHeight="1">
      <c r="D915" s="4" t="n"/>
      <c r="E915" s="4" t="n"/>
    </row>
    <row r="916" ht="15.75" customHeight="1">
      <c r="D916" s="4" t="n"/>
      <c r="E916" s="4" t="n"/>
    </row>
    <row r="917" ht="15.75" customHeight="1">
      <c r="D917" s="4" t="n"/>
      <c r="E917" s="4" t="n"/>
    </row>
    <row r="918" ht="15.75" customHeight="1">
      <c r="D918" s="4" t="n"/>
      <c r="E918" s="4" t="n"/>
    </row>
    <row r="919" ht="15.75" customHeight="1">
      <c r="D919" s="4" t="n"/>
      <c r="E919" s="4" t="n"/>
    </row>
    <row r="920" ht="15.75" customHeight="1">
      <c r="D920" s="4" t="n"/>
      <c r="E920" s="4" t="n"/>
    </row>
    <row r="921" ht="15.75" customHeight="1">
      <c r="D921" s="4" t="n"/>
      <c r="E921" s="4" t="n"/>
    </row>
    <row r="922" ht="15.75" customHeight="1">
      <c r="D922" s="4" t="n"/>
      <c r="E922" s="4" t="n"/>
    </row>
    <row r="923" ht="15.75" customHeight="1">
      <c r="D923" s="4" t="n"/>
      <c r="E923" s="4" t="n"/>
    </row>
    <row r="924" ht="15.75" customHeight="1">
      <c r="D924" s="4" t="n"/>
      <c r="E924" s="4" t="n"/>
    </row>
    <row r="925" ht="15.75" customHeight="1">
      <c r="D925" s="4" t="n"/>
      <c r="E925" s="4" t="n"/>
    </row>
    <row r="926" ht="15.75" customHeight="1">
      <c r="D926" s="4" t="n"/>
      <c r="E926" s="4" t="n"/>
    </row>
    <row r="927" ht="15.75" customHeight="1">
      <c r="D927" s="4" t="n"/>
      <c r="E927" s="4" t="n"/>
    </row>
    <row r="928" ht="15.75" customHeight="1">
      <c r="D928" s="4" t="n"/>
      <c r="E928" s="4" t="n"/>
    </row>
    <row r="929" ht="15.75" customHeight="1">
      <c r="D929" s="4" t="n"/>
      <c r="E929" s="4" t="n"/>
    </row>
    <row r="930" ht="15.75" customHeight="1">
      <c r="D930" s="4" t="n"/>
      <c r="E930" s="4" t="n"/>
    </row>
    <row r="931" ht="15.75" customHeight="1">
      <c r="D931" s="4" t="n"/>
      <c r="E931" s="4" t="n"/>
    </row>
    <row r="932" ht="15.75" customHeight="1">
      <c r="D932" s="4" t="n"/>
      <c r="E932" s="4" t="n"/>
    </row>
    <row r="933" ht="15.75" customHeight="1">
      <c r="D933" s="4" t="n"/>
      <c r="E933" s="4" t="n"/>
    </row>
    <row r="934" ht="15.75" customHeight="1">
      <c r="D934" s="4" t="n"/>
      <c r="E934" s="4" t="n"/>
    </row>
    <row r="935" ht="15.75" customHeight="1">
      <c r="D935" s="4" t="n"/>
      <c r="E935" s="4" t="n"/>
    </row>
    <row r="936" ht="15.75" customHeight="1">
      <c r="D936" s="4" t="n"/>
      <c r="E936" s="4" t="n"/>
    </row>
    <row r="937" ht="15.75" customHeight="1">
      <c r="D937" s="4" t="n"/>
      <c r="E937" s="4" t="n"/>
    </row>
    <row r="938" ht="15.75" customHeight="1">
      <c r="D938" s="4" t="n"/>
      <c r="E938" s="4" t="n"/>
    </row>
    <row r="939" ht="15.75" customHeight="1">
      <c r="D939" s="4" t="n"/>
      <c r="E939" s="4" t="n"/>
    </row>
    <row r="940" ht="15.75" customHeight="1">
      <c r="D940" s="4" t="n"/>
      <c r="E940" s="4" t="n"/>
    </row>
    <row r="941" ht="15.75" customHeight="1">
      <c r="D941" s="4" t="n"/>
      <c r="E941" s="4" t="n"/>
    </row>
    <row r="942" ht="15.75" customHeight="1">
      <c r="D942" s="4" t="n"/>
      <c r="E942" s="4" t="n"/>
    </row>
    <row r="943" ht="15.75" customHeight="1">
      <c r="D943" s="4" t="n"/>
      <c r="E943" s="4" t="n"/>
    </row>
    <row r="944" ht="15.75" customHeight="1">
      <c r="D944" s="4" t="n"/>
      <c r="E944" s="4" t="n"/>
    </row>
    <row r="945" ht="15.75" customHeight="1">
      <c r="D945" s="4" t="n"/>
      <c r="E945" s="4" t="n"/>
    </row>
    <row r="946" ht="15.75" customHeight="1">
      <c r="D946" s="4" t="n"/>
      <c r="E946" s="4" t="n"/>
    </row>
    <row r="947" ht="15.75" customHeight="1">
      <c r="D947" s="4" t="n"/>
      <c r="E947" s="4" t="n"/>
    </row>
    <row r="948" ht="15.75" customHeight="1">
      <c r="D948" s="4" t="n"/>
      <c r="E948" s="4" t="n"/>
    </row>
    <row r="949" ht="15.75" customHeight="1">
      <c r="D949" s="4" t="n"/>
      <c r="E949" s="4" t="n"/>
    </row>
    <row r="950" ht="15.75" customHeight="1">
      <c r="D950" s="4" t="n"/>
      <c r="E950" s="4" t="n"/>
    </row>
    <row r="951" ht="15.75" customHeight="1">
      <c r="D951" s="4" t="n"/>
      <c r="E951" s="4" t="n"/>
    </row>
    <row r="952" ht="15.75" customHeight="1">
      <c r="D952" s="4" t="n"/>
      <c r="E952" s="4" t="n"/>
    </row>
    <row r="953" ht="15.75" customHeight="1">
      <c r="D953" s="4" t="n"/>
      <c r="E953" s="4" t="n"/>
    </row>
    <row r="954" ht="15.75" customHeight="1">
      <c r="D954" s="4" t="n"/>
      <c r="E954" s="4" t="n"/>
    </row>
    <row r="955" ht="15.75" customHeight="1">
      <c r="D955" s="4" t="n"/>
      <c r="E955" s="4" t="n"/>
    </row>
    <row r="956" ht="15.75" customHeight="1">
      <c r="D956" s="4" t="n"/>
      <c r="E956" s="4" t="n"/>
    </row>
    <row r="957" ht="15.75" customHeight="1">
      <c r="D957" s="4" t="n"/>
      <c r="E957" s="4" t="n"/>
    </row>
    <row r="958" ht="15.75" customHeight="1">
      <c r="D958" s="4" t="n"/>
      <c r="E958" s="4" t="n"/>
    </row>
    <row r="959" ht="15.75" customHeight="1">
      <c r="D959" s="4" t="n"/>
      <c r="E959" s="4" t="n"/>
    </row>
    <row r="960" ht="15.75" customHeight="1">
      <c r="D960" s="4" t="n"/>
      <c r="E960" s="4" t="n"/>
    </row>
    <row r="961" ht="15.75" customHeight="1">
      <c r="D961" s="4" t="n"/>
      <c r="E961" s="4" t="n"/>
    </row>
    <row r="962" ht="15.75" customHeight="1">
      <c r="D962" s="4" t="n"/>
      <c r="E962" s="4" t="n"/>
    </row>
    <row r="963" ht="15.75" customHeight="1">
      <c r="D963" s="4" t="n"/>
      <c r="E963" s="4" t="n"/>
    </row>
    <row r="964" ht="15.75" customHeight="1">
      <c r="D964" s="4" t="n"/>
      <c r="E964" s="4" t="n"/>
    </row>
    <row r="965" ht="15.75" customHeight="1">
      <c r="D965" s="4" t="n"/>
      <c r="E965" s="4" t="n"/>
    </row>
    <row r="966" ht="15.75" customHeight="1">
      <c r="D966" s="4" t="n"/>
      <c r="E966" s="4" t="n"/>
    </row>
    <row r="967" ht="15.75" customHeight="1">
      <c r="D967" s="4" t="n"/>
      <c r="E967" s="4" t="n"/>
    </row>
    <row r="968" ht="15.75" customHeight="1">
      <c r="D968" s="4" t="n"/>
      <c r="E968" s="4" t="n"/>
    </row>
    <row r="969" ht="15.75" customHeight="1">
      <c r="D969" s="4" t="n"/>
      <c r="E969" s="4" t="n"/>
    </row>
    <row r="970" ht="15.75" customHeight="1">
      <c r="D970" s="4" t="n"/>
      <c r="E970" s="4" t="n"/>
    </row>
    <row r="971" ht="15.75" customHeight="1">
      <c r="D971" s="4" t="n"/>
      <c r="E971" s="4" t="n"/>
    </row>
    <row r="972" ht="15.75" customHeight="1">
      <c r="D972" s="4" t="n"/>
      <c r="E972" s="4" t="n"/>
    </row>
    <row r="973" ht="15.75" customHeight="1">
      <c r="D973" s="4" t="n"/>
      <c r="E973" s="4" t="n"/>
    </row>
    <row r="974" ht="15.75" customHeight="1">
      <c r="D974" s="4" t="n"/>
      <c r="E974" s="4" t="n"/>
    </row>
    <row r="975" ht="15.75" customHeight="1">
      <c r="D975" s="4" t="n"/>
      <c r="E975" s="4" t="n"/>
    </row>
    <row r="976" ht="15.75" customHeight="1">
      <c r="D976" s="4" t="n"/>
      <c r="E976" s="4" t="n"/>
    </row>
    <row r="977" ht="15.75" customHeight="1">
      <c r="D977" s="4" t="n"/>
      <c r="E977" s="4" t="n"/>
    </row>
    <row r="978" ht="15.75" customHeight="1">
      <c r="D978" s="4" t="n"/>
      <c r="E978" s="4" t="n"/>
    </row>
    <row r="979" ht="15.75" customHeight="1">
      <c r="D979" s="4" t="n"/>
      <c r="E979" s="4" t="n"/>
    </row>
    <row r="980" ht="15.75" customHeight="1">
      <c r="D980" s="4" t="n"/>
      <c r="E980" s="4" t="n"/>
    </row>
    <row r="981" ht="15.75" customHeight="1">
      <c r="D981" s="4" t="n"/>
      <c r="E981" s="4" t="n"/>
    </row>
    <row r="982" ht="15.75" customHeight="1">
      <c r="D982" s="4" t="n"/>
      <c r="E982" s="4" t="n"/>
    </row>
    <row r="983" ht="15.75" customHeight="1">
      <c r="D983" s="4" t="n"/>
      <c r="E983" s="4" t="n"/>
    </row>
    <row r="984" ht="15.75" customHeight="1">
      <c r="D984" s="4" t="n"/>
      <c r="E984" s="4" t="n"/>
    </row>
    <row r="985" ht="15.75" customHeight="1">
      <c r="D985" s="4" t="n"/>
      <c r="E985" s="4" t="n"/>
    </row>
    <row r="986" ht="15.75" customHeight="1">
      <c r="D986" s="4" t="n"/>
      <c r="E986" s="4" t="n"/>
    </row>
    <row r="987" ht="15.75" customHeight="1">
      <c r="D987" s="4" t="n"/>
      <c r="E987" s="4" t="n"/>
    </row>
    <row r="988" ht="15.75" customHeight="1">
      <c r="D988" s="4" t="n"/>
      <c r="E988" s="4" t="n"/>
    </row>
    <row r="989" ht="15.75" customHeight="1">
      <c r="D989" s="4" t="n"/>
      <c r="E989" s="4" t="n"/>
    </row>
    <row r="990" ht="15.75" customHeight="1">
      <c r="D990" s="4" t="n"/>
      <c r="E990" s="4" t="n"/>
    </row>
    <row r="991" ht="15.75" customHeight="1">
      <c r="D991" s="4" t="n"/>
      <c r="E991" s="4" t="n"/>
    </row>
    <row r="992" ht="15.75" customHeight="1">
      <c r="D992" s="4" t="n"/>
      <c r="E992" s="4" t="n"/>
    </row>
    <row r="993" ht="15.75" customHeight="1">
      <c r="D993" s="4" t="n"/>
      <c r="E993" s="4" t="n"/>
    </row>
    <row r="994" ht="15.75" customHeight="1">
      <c r="D994" s="4" t="n"/>
      <c r="E994" s="4" t="n"/>
    </row>
    <row r="995" ht="15.75" customHeight="1">
      <c r="D995" s="4" t="n"/>
      <c r="E995" s="4" t="n"/>
    </row>
    <row r="996" ht="15.75" customHeight="1">
      <c r="D996" s="4" t="n"/>
      <c r="E996" s="4" t="n"/>
    </row>
    <row r="997" ht="15.75" customHeight="1">
      <c r="D997" s="4" t="n"/>
      <c r="E997" s="4" t="n"/>
    </row>
    <row r="998" ht="15.75" customHeight="1">
      <c r="D998" s="4" t="n"/>
      <c r="E998" s="4" t="n"/>
    </row>
    <row r="999" ht="15.75" customHeight="1">
      <c r="D999" s="4" t="n"/>
      <c r="E999" s="4" t="n"/>
    </row>
    <row r="1000" ht="15.75" customHeight="1">
      <c r="D1000" s="4" t="n"/>
      <c r="E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2"/>
  <sheetViews>
    <sheetView showGridLines="0" workbookViewId="0">
      <selection activeCell="B7" sqref="B7"/>
    </sheetView>
  </sheetViews>
  <sheetFormatPr baseColWidth="8" defaultColWidth="12.6640625" defaultRowHeight="15" customHeight="1"/>
  <cols>
    <col width="3.83203125" customWidth="1" min="1" max="1"/>
    <col width="30.75" customWidth="1" min="2" max="2"/>
    <col width="18.9140625" customWidth="1" min="3" max="3"/>
    <col width="22.08203125" customWidth="1" min="4" max="4"/>
    <col width="8.75" customWidth="1" min="5" max="7"/>
    <col width="14.4140625" customWidth="1" min="8" max="27"/>
  </cols>
  <sheetData>
    <row r="1" ht="26" customHeight="1">
      <c r="B1" s="27" t="inlineStr">
        <is>
          <t>Investment Type</t>
        </is>
      </c>
      <c r="C1" s="27" t="inlineStr">
        <is>
          <t>Monthly Amount</t>
        </is>
      </c>
      <c r="D1" s="27" t="inlineStr">
        <is>
          <t>Optional Remarks /Comments</t>
        </is>
      </c>
    </row>
    <row r="2" ht="14.5" customHeight="1">
      <c r="B2" s="66" t="inlineStr">
        <is>
          <t>Mutual Fund SIP</t>
        </is>
      </c>
      <c r="C2" s="50">
        <f>'4A_Mutual_Funds'!I22</f>
        <v/>
      </c>
      <c r="D2" s="373" t="inlineStr">
        <is>
          <t>For House Purchase</t>
        </is>
      </c>
    </row>
    <row r="3" ht="14.5" customHeight="1">
      <c r="B3" s="66" t="n"/>
      <c r="C3" s="50" t="n"/>
      <c r="D3" s="373" t="n"/>
    </row>
    <row r="4" ht="14.5" customHeight="1">
      <c r="B4" s="66" t="n"/>
      <c r="C4" s="50" t="n"/>
      <c r="D4" s="66" t="n"/>
    </row>
    <row r="5" ht="14.5" customHeight="1">
      <c r="B5" s="66" t="n"/>
      <c r="C5" s="50" t="n"/>
      <c r="D5" s="66" t="n"/>
    </row>
    <row r="6" ht="14.5" customHeight="1">
      <c r="B6" s="66" t="n"/>
      <c r="C6" s="50" t="n"/>
      <c r="D6" s="66" t="n"/>
    </row>
    <row r="7" ht="14.5" customHeight="1">
      <c r="B7" s="373" t="n"/>
      <c r="C7" s="50" t="n"/>
      <c r="D7" s="373" t="n"/>
    </row>
    <row r="8" ht="14.5" customHeight="1">
      <c r="B8" s="66" t="n"/>
      <c r="C8" s="50" t="n"/>
      <c r="D8" s="66" t="n"/>
    </row>
    <row r="9" ht="14.5" customHeight="1">
      <c r="B9" s="66" t="n"/>
      <c r="C9" s="50" t="n"/>
      <c r="D9" s="66" t="n"/>
    </row>
    <row r="10" ht="14.5" customHeight="1">
      <c r="B10" s="80" t="n"/>
      <c r="C10" s="90">
        <f>SUM(C2:C7)</f>
        <v/>
      </c>
      <c r="D10" s="80" t="n"/>
    </row>
    <row r="11" ht="14" customHeight="1">
      <c r="C11" s="4" t="n"/>
    </row>
    <row r="12" ht="14.5" customHeight="1">
      <c r="B12" s="66" t="n"/>
      <c r="C12" s="50" t="n"/>
      <c r="D12" s="66" t="n"/>
    </row>
    <row r="13" ht="14" customHeight="1">
      <c r="C13" s="4" t="n"/>
    </row>
    <row r="14" ht="14" customHeight="1">
      <c r="C14" s="4" t="n"/>
    </row>
    <row r="15" ht="14" customHeight="1">
      <c r="C15" s="4" t="n"/>
    </row>
    <row r="16" ht="14" customHeight="1">
      <c r="C16" s="4" t="n"/>
    </row>
    <row r="17" ht="14" customHeight="1">
      <c r="C17" s="4" t="n"/>
    </row>
    <row r="18" ht="14" customHeight="1">
      <c r="C18" s="4" t="n"/>
    </row>
    <row r="19" ht="14" customHeight="1">
      <c r="C19" s="4" t="n"/>
    </row>
    <row r="20" ht="14" customHeight="1">
      <c r="C20" s="4" t="n"/>
    </row>
    <row r="21" ht="14" customHeight="1">
      <c r="C21" s="4" t="n"/>
    </row>
    <row r="22" ht="14" customHeight="1">
      <c r="C22" s="4" t="n"/>
    </row>
    <row r="23" ht="15.75" customHeight="1">
      <c r="C23" s="4" t="n"/>
    </row>
    <row r="24" ht="15.75" customHeight="1">
      <c r="C24" s="4" t="n"/>
    </row>
    <row r="25" ht="15.75" customHeight="1">
      <c r="C25" s="4" t="n"/>
    </row>
    <row r="26" ht="15.75" customHeight="1">
      <c r="C26" s="4" t="n"/>
    </row>
    <row r="27" ht="15.75" customHeight="1">
      <c r="C27" s="4" t="n"/>
    </row>
    <row r="28" ht="15.75" customHeight="1">
      <c r="C28" s="4" t="n"/>
    </row>
    <row r="29" ht="15.75" customHeight="1">
      <c r="C29" s="4" t="n"/>
    </row>
    <row r="30" ht="15.75" customHeight="1">
      <c r="C30" s="4" t="n"/>
    </row>
    <row r="31" ht="15.75" customHeight="1">
      <c r="C31" s="4" t="n"/>
    </row>
    <row r="32" ht="15.75" customHeight="1">
      <c r="C32" s="4" t="n"/>
    </row>
    <row r="33" ht="15.75" customHeight="1">
      <c r="C33" s="4" t="n"/>
    </row>
    <row r="34" ht="15.75" customHeight="1">
      <c r="C34" s="4" t="n"/>
    </row>
    <row r="35" ht="15.75" customHeight="1">
      <c r="C35" s="4" t="n"/>
    </row>
    <row r="36" ht="15.75" customHeight="1">
      <c r="C36" s="4" t="n"/>
    </row>
    <row r="37" ht="15.75" customHeight="1">
      <c r="C37" s="4" t="n"/>
    </row>
    <row r="38" ht="15.75" customHeight="1">
      <c r="C38" s="4" t="n"/>
    </row>
    <row r="39" ht="15.75" customHeight="1">
      <c r="C39" s="4" t="n"/>
    </row>
    <row r="40" ht="15.75" customHeight="1">
      <c r="C40" s="4" t="n"/>
    </row>
    <row r="41" ht="15.75" customHeight="1">
      <c r="C41" s="4" t="n"/>
    </row>
    <row r="42" ht="15.75" customHeight="1">
      <c r="C42" s="4" t="n"/>
    </row>
    <row r="43" ht="15.75" customHeight="1">
      <c r="C43" s="4" t="n"/>
    </row>
    <row r="44" ht="15.75" customHeight="1">
      <c r="C44" s="4" t="n"/>
    </row>
    <row r="45" ht="15.75" customHeight="1">
      <c r="C45" s="4" t="n"/>
    </row>
    <row r="46" ht="15.75" customHeight="1">
      <c r="C46" s="4" t="n"/>
    </row>
    <row r="47" ht="15.75" customHeight="1">
      <c r="C47" s="4" t="n"/>
    </row>
    <row r="48" ht="15.75" customHeight="1">
      <c r="C48" s="4" t="n"/>
    </row>
    <row r="49" ht="15.75" customHeight="1">
      <c r="C49" s="4" t="n"/>
    </row>
    <row r="50" ht="15.75" customHeight="1">
      <c r="C50" s="4" t="n"/>
    </row>
    <row r="51" ht="15.75" customHeight="1">
      <c r="C51" s="4" t="n"/>
    </row>
    <row r="52" ht="15.75" customHeight="1">
      <c r="C52" s="4" t="n"/>
    </row>
    <row r="53" ht="15.75" customHeight="1">
      <c r="C53" s="4" t="n"/>
    </row>
    <row r="54" ht="15.75" customHeight="1">
      <c r="C54" s="4" t="n"/>
    </row>
    <row r="55" ht="15.75" customHeight="1">
      <c r="C55" s="4" t="n"/>
    </row>
    <row r="56" ht="15.75" customHeight="1">
      <c r="C56" s="4" t="n"/>
    </row>
    <row r="57" ht="15.75" customHeight="1">
      <c r="C57" s="4" t="n"/>
    </row>
    <row r="58" ht="15.75" customHeight="1">
      <c r="C58" s="4" t="n"/>
    </row>
    <row r="59" ht="15.75" customHeight="1">
      <c r="C59" s="4" t="n"/>
    </row>
    <row r="60" ht="15.75" customHeight="1">
      <c r="C60" s="4" t="n"/>
    </row>
    <row r="61" ht="15.75" customHeight="1">
      <c r="C61" s="4" t="n"/>
    </row>
    <row r="62" ht="15.75" customHeight="1">
      <c r="C62" s="4" t="n"/>
    </row>
    <row r="63" ht="15.75" customHeight="1">
      <c r="C63" s="4" t="n"/>
    </row>
    <row r="64" ht="15.75" customHeight="1">
      <c r="C64" s="4" t="n"/>
    </row>
    <row r="65" ht="15.75" customHeight="1">
      <c r="C65" s="4" t="n"/>
    </row>
    <row r="66" ht="15.75" customHeight="1">
      <c r="C66" s="4" t="n"/>
    </row>
    <row r="67" ht="15.75" customHeight="1">
      <c r="C67" s="4" t="n"/>
    </row>
    <row r="68" ht="15.75" customHeight="1">
      <c r="C68" s="4" t="n"/>
    </row>
    <row r="69" ht="15.75" customHeight="1">
      <c r="C69" s="4" t="n"/>
    </row>
    <row r="70" ht="15.75" customHeight="1">
      <c r="C70" s="4" t="n"/>
    </row>
    <row r="71" ht="15.75" customHeight="1">
      <c r="C71" s="4" t="n"/>
    </row>
    <row r="72" ht="15.75" customHeight="1">
      <c r="C72" s="4" t="n"/>
    </row>
    <row r="73" ht="15.75" customHeight="1">
      <c r="C73" s="4" t="n"/>
    </row>
    <row r="74" ht="15.75" customHeight="1">
      <c r="C74" s="4" t="n"/>
    </row>
    <row r="75" ht="15.75" customHeight="1">
      <c r="C75" s="4" t="n"/>
    </row>
    <row r="76" ht="15.75" customHeight="1">
      <c r="C76" s="4" t="n"/>
    </row>
    <row r="77" ht="15.75" customHeight="1">
      <c r="C77" s="4" t="n"/>
    </row>
    <row r="78" ht="15.75" customHeight="1">
      <c r="C78" s="4" t="n"/>
    </row>
    <row r="79" ht="15.75" customHeight="1">
      <c r="C79" s="4" t="n"/>
    </row>
    <row r="80" ht="15.75" customHeight="1">
      <c r="C80" s="4" t="n"/>
    </row>
    <row r="81" ht="15.75" customHeight="1">
      <c r="C81" s="4" t="n"/>
    </row>
    <row r="82" ht="15.75" customHeight="1">
      <c r="C82" s="4" t="n"/>
    </row>
    <row r="83" ht="15.75" customHeight="1">
      <c r="C83" s="4" t="n"/>
    </row>
    <row r="84" ht="15.75" customHeight="1">
      <c r="C84" s="4" t="n"/>
    </row>
    <row r="85" ht="15.75" customHeight="1">
      <c r="C85" s="4" t="n"/>
    </row>
    <row r="86" ht="15.75" customHeight="1">
      <c r="C86" s="4" t="n"/>
    </row>
    <row r="87" ht="15.75" customHeight="1">
      <c r="C87" s="4" t="n"/>
    </row>
    <row r="88" ht="15.75" customHeight="1">
      <c r="C88" s="4" t="n"/>
    </row>
    <row r="89" ht="15.75" customHeight="1">
      <c r="C89" s="4" t="n"/>
    </row>
    <row r="90" ht="15.75" customHeight="1">
      <c r="C90" s="4" t="n"/>
    </row>
    <row r="91" ht="15.75" customHeight="1">
      <c r="C91" s="4" t="n"/>
    </row>
    <row r="92" ht="15.75" customHeight="1">
      <c r="C92" s="4" t="n"/>
    </row>
    <row r="93" ht="15.75" customHeight="1">
      <c r="C93" s="4" t="n"/>
    </row>
    <row r="94" ht="15.75" customHeight="1">
      <c r="C94" s="4" t="n"/>
    </row>
    <row r="95" ht="15.75" customHeight="1">
      <c r="C95" s="4" t="n"/>
    </row>
    <row r="96" ht="15.75" customHeight="1">
      <c r="C96" s="4" t="n"/>
    </row>
    <row r="97" ht="15.75" customHeight="1">
      <c r="C97" s="4" t="n"/>
    </row>
    <row r="98" ht="15.75" customHeight="1">
      <c r="C98" s="4" t="n"/>
    </row>
    <row r="99" ht="15.75" customHeight="1">
      <c r="C99" s="4" t="n"/>
    </row>
    <row r="100" ht="15.75" customHeight="1">
      <c r="C100" s="4" t="n"/>
    </row>
    <row r="101" ht="15.75" customHeight="1">
      <c r="C101" s="4" t="n"/>
    </row>
    <row r="102" ht="15.75" customHeight="1">
      <c r="C102" s="4" t="n"/>
    </row>
    <row r="103" ht="15.75" customHeight="1">
      <c r="C103" s="4" t="n"/>
    </row>
    <row r="104" ht="15.75" customHeight="1">
      <c r="C104" s="4" t="n"/>
    </row>
    <row r="105" ht="15.75" customHeight="1">
      <c r="C105" s="4" t="n"/>
    </row>
    <row r="106" ht="15.75" customHeight="1">
      <c r="C106" s="4" t="n"/>
    </row>
    <row r="107" ht="15.75" customHeight="1">
      <c r="C107" s="4" t="n"/>
    </row>
    <row r="108" ht="15.75" customHeight="1">
      <c r="C108" s="4" t="n"/>
    </row>
    <row r="109" ht="15.75" customHeight="1">
      <c r="C109" s="4" t="n"/>
    </row>
    <row r="110" ht="15.75" customHeight="1">
      <c r="C110" s="4" t="n"/>
    </row>
    <row r="111" ht="15.75" customHeight="1">
      <c r="C111" s="4" t="n"/>
    </row>
    <row r="112" ht="15.75" customHeight="1">
      <c r="C112" s="4" t="n"/>
    </row>
    <row r="113" ht="15.75" customHeight="1">
      <c r="C113" s="4" t="n"/>
    </row>
    <row r="114" ht="15.75" customHeight="1">
      <c r="C114" s="4" t="n"/>
    </row>
    <row r="115" ht="15.75" customHeight="1">
      <c r="C115" s="4" t="n"/>
    </row>
    <row r="116" ht="15.75" customHeight="1">
      <c r="C116" s="4" t="n"/>
    </row>
    <row r="117" ht="15.75" customHeight="1">
      <c r="C117" s="4" t="n"/>
    </row>
    <row r="118" ht="15.75" customHeight="1">
      <c r="C118" s="4" t="n"/>
    </row>
    <row r="119" ht="15.75" customHeight="1">
      <c r="C119" s="4" t="n"/>
    </row>
    <row r="120" ht="15.75" customHeight="1">
      <c r="C120" s="4" t="n"/>
    </row>
    <row r="121" ht="15.75" customHeight="1">
      <c r="C121" s="4" t="n"/>
    </row>
    <row r="122" ht="15.75" customHeight="1">
      <c r="C122" s="4" t="n"/>
    </row>
    <row r="123" ht="15.75" customHeight="1">
      <c r="C123" s="4" t="n"/>
    </row>
    <row r="124" ht="15.75" customHeight="1">
      <c r="C124" s="4" t="n"/>
    </row>
    <row r="125" ht="15.75" customHeight="1">
      <c r="C125" s="4" t="n"/>
    </row>
    <row r="126" ht="15.75" customHeight="1">
      <c r="C126" s="4" t="n"/>
    </row>
    <row r="127" ht="15.75" customHeight="1">
      <c r="C127" s="4" t="n"/>
    </row>
    <row r="128" ht="15.75" customHeight="1">
      <c r="C128" s="4" t="n"/>
    </row>
    <row r="129" ht="15.75" customHeight="1">
      <c r="C129" s="4" t="n"/>
    </row>
    <row r="130" ht="15.75" customHeight="1">
      <c r="C130" s="4" t="n"/>
    </row>
    <row r="131" ht="15.75" customHeight="1">
      <c r="C131" s="4" t="n"/>
    </row>
    <row r="132" ht="15.75" customHeight="1">
      <c r="C132" s="4" t="n"/>
    </row>
    <row r="133" ht="15.75" customHeight="1">
      <c r="C133" s="4" t="n"/>
    </row>
    <row r="134" ht="15.75" customHeight="1">
      <c r="C134" s="4" t="n"/>
    </row>
    <row r="135" ht="15.75" customHeight="1">
      <c r="C135" s="4" t="n"/>
    </row>
    <row r="136" ht="15.75" customHeight="1">
      <c r="C136" s="4" t="n"/>
    </row>
    <row r="137" ht="15.75" customHeight="1">
      <c r="C137" s="4" t="n"/>
    </row>
    <row r="138" ht="15.75" customHeight="1">
      <c r="C138" s="4" t="n"/>
    </row>
    <row r="139" ht="15.75" customHeight="1">
      <c r="C139" s="4" t="n"/>
    </row>
    <row r="140" ht="15.75" customHeight="1">
      <c r="C140" s="4" t="n"/>
    </row>
    <row r="141" ht="15.75" customHeight="1">
      <c r="C141" s="4" t="n"/>
    </row>
    <row r="142" ht="15.75" customHeight="1">
      <c r="C142" s="4" t="n"/>
    </row>
    <row r="143" ht="15.75" customHeight="1">
      <c r="C143" s="4" t="n"/>
    </row>
    <row r="144" ht="15.75" customHeight="1">
      <c r="C144" s="4" t="n"/>
    </row>
    <row r="145" ht="15.75" customHeight="1">
      <c r="C145" s="4" t="n"/>
    </row>
    <row r="146" ht="15.75" customHeight="1">
      <c r="C146" s="4" t="n"/>
    </row>
    <row r="147" ht="15.75" customHeight="1">
      <c r="C147" s="4" t="n"/>
    </row>
    <row r="148" ht="15.75" customHeight="1">
      <c r="C148" s="4" t="n"/>
    </row>
    <row r="149" ht="15.75" customHeight="1">
      <c r="C149" s="4" t="n"/>
    </row>
    <row r="150" ht="15.75" customHeight="1">
      <c r="C150" s="4" t="n"/>
    </row>
    <row r="151" ht="15.75" customHeight="1">
      <c r="C151" s="4" t="n"/>
    </row>
    <row r="152" ht="15.75" customHeight="1">
      <c r="C152" s="4" t="n"/>
    </row>
    <row r="153" ht="15.75" customHeight="1">
      <c r="C153" s="4" t="n"/>
    </row>
    <row r="154" ht="15.75" customHeight="1">
      <c r="C154" s="4" t="n"/>
    </row>
    <row r="155" ht="15.75" customHeight="1">
      <c r="C155" s="4" t="n"/>
    </row>
    <row r="156" ht="15.75" customHeight="1">
      <c r="C156" s="4" t="n"/>
    </row>
    <row r="157" ht="15.75" customHeight="1">
      <c r="C157" s="4" t="n"/>
    </row>
    <row r="158" ht="15.75" customHeight="1">
      <c r="C158" s="4" t="n"/>
    </row>
    <row r="159" ht="15.75" customHeight="1">
      <c r="C159" s="4" t="n"/>
    </row>
    <row r="160" ht="15.75" customHeight="1">
      <c r="C160" s="4" t="n"/>
    </row>
    <row r="161" ht="15.75" customHeight="1">
      <c r="C161" s="4" t="n"/>
    </row>
    <row r="162" ht="15.75" customHeight="1">
      <c r="C162" s="4" t="n"/>
    </row>
    <row r="163" ht="15.75" customHeight="1">
      <c r="C163" s="4" t="n"/>
    </row>
    <row r="164" ht="15.75" customHeight="1">
      <c r="C164" s="4" t="n"/>
    </row>
    <row r="165" ht="15.75" customHeight="1">
      <c r="C165" s="4" t="n"/>
    </row>
    <row r="166" ht="15.75" customHeight="1">
      <c r="C166" s="4" t="n"/>
    </row>
    <row r="167" ht="15.75" customHeight="1">
      <c r="C167" s="4" t="n"/>
    </row>
    <row r="168" ht="15.75" customHeight="1">
      <c r="C168" s="4" t="n"/>
    </row>
    <row r="169" ht="15.75" customHeight="1">
      <c r="C169" s="4" t="n"/>
    </row>
    <row r="170" ht="15.75" customHeight="1">
      <c r="C170" s="4" t="n"/>
    </row>
    <row r="171" ht="15.75" customHeight="1">
      <c r="C171" s="4" t="n"/>
    </row>
    <row r="172" ht="15.75" customHeight="1">
      <c r="C172" s="4" t="n"/>
    </row>
    <row r="173" ht="15.75" customHeight="1">
      <c r="C173" s="4" t="n"/>
    </row>
    <row r="174" ht="15.75" customHeight="1">
      <c r="C174" s="4" t="n"/>
    </row>
    <row r="175" ht="15.75" customHeight="1">
      <c r="C175" s="4" t="n"/>
    </row>
    <row r="176" ht="15.75" customHeight="1">
      <c r="C176" s="4" t="n"/>
    </row>
    <row r="177" ht="15.75" customHeight="1">
      <c r="C177" s="4" t="n"/>
    </row>
    <row r="178" ht="15.75" customHeight="1">
      <c r="C178" s="4" t="n"/>
    </row>
    <row r="179" ht="15.75" customHeight="1">
      <c r="C179" s="4" t="n"/>
    </row>
    <row r="180" ht="15.75" customHeight="1">
      <c r="C180" s="4" t="n"/>
    </row>
    <row r="181" ht="15.75" customHeight="1">
      <c r="C181" s="4" t="n"/>
    </row>
    <row r="182" ht="15.75" customHeight="1">
      <c r="C182" s="4" t="n"/>
    </row>
    <row r="183" ht="15.75" customHeight="1">
      <c r="C183" s="4" t="n"/>
    </row>
    <row r="184" ht="15.75" customHeight="1">
      <c r="C184" s="4" t="n"/>
    </row>
    <row r="185" ht="15.75" customHeight="1">
      <c r="C185" s="4" t="n"/>
    </row>
    <row r="186" ht="15.75" customHeight="1">
      <c r="C186" s="4" t="n"/>
    </row>
    <row r="187" ht="15.75" customHeight="1">
      <c r="C187" s="4" t="n"/>
    </row>
    <row r="188" ht="15.75" customHeight="1">
      <c r="C188" s="4" t="n"/>
    </row>
    <row r="189" ht="15.75" customHeight="1">
      <c r="C189" s="4" t="n"/>
    </row>
    <row r="190" ht="15.75" customHeight="1">
      <c r="C190" s="4" t="n"/>
    </row>
    <row r="191" ht="15.75" customHeight="1">
      <c r="C191" s="4" t="n"/>
    </row>
    <row r="192" ht="15.75" customHeight="1">
      <c r="C192" s="4" t="n"/>
    </row>
    <row r="193" ht="15.75" customHeight="1">
      <c r="C193" s="4" t="n"/>
    </row>
    <row r="194" ht="15.75" customHeight="1">
      <c r="C194" s="4" t="n"/>
    </row>
    <row r="195" ht="15.75" customHeight="1">
      <c r="C195" s="4" t="n"/>
    </row>
    <row r="196" ht="15.75" customHeight="1">
      <c r="C196" s="4" t="n"/>
    </row>
    <row r="197" ht="15.75" customHeight="1">
      <c r="C197" s="4" t="n"/>
    </row>
    <row r="198" ht="15.75" customHeight="1">
      <c r="C198" s="4" t="n"/>
    </row>
    <row r="199" ht="15.75" customHeight="1">
      <c r="C199" s="4" t="n"/>
    </row>
    <row r="200" ht="15.75" customHeight="1">
      <c r="C200" s="4" t="n"/>
    </row>
    <row r="201" ht="15.75" customHeight="1">
      <c r="C201" s="4" t="n"/>
    </row>
    <row r="202" ht="15.75" customHeight="1">
      <c r="C202" s="4" t="n"/>
    </row>
    <row r="203" ht="15.75" customHeight="1">
      <c r="C203" s="4" t="n"/>
    </row>
    <row r="204" ht="15.75" customHeight="1">
      <c r="C204" s="4" t="n"/>
    </row>
    <row r="205" ht="15.75" customHeight="1">
      <c r="C205" s="4" t="n"/>
    </row>
    <row r="206" ht="15.75" customHeight="1">
      <c r="C206" s="4" t="n"/>
    </row>
    <row r="207" ht="15.75" customHeight="1">
      <c r="C207" s="4" t="n"/>
    </row>
    <row r="208" ht="15.75" customHeight="1">
      <c r="C208" s="4" t="n"/>
    </row>
    <row r="209" ht="15.75" customHeight="1">
      <c r="C209" s="4" t="n"/>
    </row>
    <row r="210" ht="15.75" customHeight="1">
      <c r="C210" s="4" t="n"/>
    </row>
    <row r="211" ht="15.75" customHeight="1">
      <c r="C211" s="4" t="n"/>
    </row>
    <row r="212" ht="15.75" customHeight="1">
      <c r="C212" s="4" t="n"/>
    </row>
    <row r="213" ht="15.75" customHeight="1">
      <c r="C213" s="4" t="n"/>
    </row>
    <row r="214" ht="15.75" customHeight="1">
      <c r="C214" s="4" t="n"/>
    </row>
    <row r="215" ht="15.75" customHeight="1">
      <c r="C215" s="4" t="n"/>
    </row>
    <row r="216" ht="15.75" customHeight="1">
      <c r="C216" s="4" t="n"/>
    </row>
    <row r="217" ht="15.75" customHeight="1">
      <c r="C217" s="4" t="n"/>
    </row>
    <row r="218" ht="15.75" customHeight="1">
      <c r="C218" s="4" t="n"/>
    </row>
    <row r="219" ht="15.75" customHeight="1">
      <c r="C219" s="4" t="n"/>
    </row>
    <row r="220" ht="15.75" customHeight="1">
      <c r="C220" s="4" t="n"/>
    </row>
    <row r="221" ht="15.75" customHeight="1">
      <c r="C221" s="4" t="n"/>
    </row>
    <row r="222" ht="15.75" customHeight="1">
      <c r="C222" s="4" t="n"/>
    </row>
    <row r="223" ht="15.75" customHeight="1">
      <c r="C223" s="4" t="n"/>
    </row>
    <row r="224" ht="15.75" customHeight="1">
      <c r="C224" s="4" t="n"/>
    </row>
    <row r="225" ht="15.75" customHeight="1">
      <c r="C225" s="4" t="n"/>
    </row>
    <row r="226" ht="15.75" customHeight="1">
      <c r="C226" s="4" t="n"/>
    </row>
    <row r="227" ht="15.75" customHeight="1">
      <c r="C227" s="4" t="n"/>
    </row>
    <row r="228" ht="15.75" customHeight="1">
      <c r="C228" s="4" t="n"/>
    </row>
    <row r="229" ht="15.75" customHeight="1">
      <c r="C229" s="4" t="n"/>
    </row>
    <row r="230" ht="15.75" customHeight="1">
      <c r="C230" s="4" t="n"/>
    </row>
    <row r="231" ht="15.75" customHeight="1">
      <c r="C231" s="4" t="n"/>
    </row>
    <row r="232" ht="15.75" customHeight="1">
      <c r="C232" s="4" t="n"/>
    </row>
    <row r="233" ht="15.75" customHeight="1">
      <c r="C233" s="4" t="n"/>
    </row>
    <row r="234" ht="15.75" customHeight="1">
      <c r="C234" s="4" t="n"/>
    </row>
    <row r="235" ht="15.75" customHeight="1">
      <c r="C235" s="4" t="n"/>
    </row>
    <row r="236" ht="15.75" customHeight="1">
      <c r="C236" s="4" t="n"/>
    </row>
    <row r="237" ht="15.75" customHeight="1">
      <c r="C237" s="4" t="n"/>
    </row>
    <row r="238" ht="15.75" customHeight="1">
      <c r="C238" s="4" t="n"/>
    </row>
    <row r="239" ht="15.75" customHeight="1">
      <c r="C239" s="4" t="n"/>
    </row>
    <row r="240" ht="15.75" customHeight="1">
      <c r="C240" s="4" t="n"/>
    </row>
    <row r="241" ht="15.75" customHeight="1">
      <c r="C241" s="4" t="n"/>
    </row>
    <row r="242" ht="15.75" customHeight="1">
      <c r="C242" s="4" t="n"/>
    </row>
    <row r="243" ht="15.75" customHeight="1">
      <c r="C243" s="4" t="n"/>
    </row>
    <row r="244" ht="15.75" customHeight="1">
      <c r="C244" s="4" t="n"/>
    </row>
    <row r="245" ht="15.75" customHeight="1">
      <c r="C245" s="4" t="n"/>
    </row>
    <row r="246" ht="15.75" customHeight="1">
      <c r="C246" s="4" t="n"/>
    </row>
    <row r="247" ht="15.75" customHeight="1">
      <c r="C247" s="4" t="n"/>
    </row>
    <row r="248" ht="15.75" customHeight="1">
      <c r="C248" s="4" t="n"/>
    </row>
    <row r="249" ht="15.75" customHeight="1">
      <c r="C249" s="4" t="n"/>
    </row>
    <row r="250" ht="15.75" customHeight="1">
      <c r="C250" s="4" t="n"/>
    </row>
    <row r="251" ht="15.75" customHeight="1">
      <c r="C251" s="4" t="n"/>
    </row>
    <row r="252" ht="15.75" customHeight="1">
      <c r="C252" s="4" t="n"/>
    </row>
    <row r="253" ht="15.75" customHeight="1">
      <c r="C253" s="4" t="n"/>
    </row>
    <row r="254" ht="15.75" customHeight="1">
      <c r="C254" s="4" t="n"/>
    </row>
    <row r="255" ht="15.75" customHeight="1">
      <c r="C255" s="4" t="n"/>
    </row>
    <row r="256" ht="15.75" customHeight="1">
      <c r="C256" s="4" t="n"/>
    </row>
    <row r="257" ht="15.75" customHeight="1">
      <c r="C257" s="4" t="n"/>
    </row>
    <row r="258" ht="15.75" customHeight="1">
      <c r="C258" s="4" t="n"/>
    </row>
    <row r="259" ht="15.75" customHeight="1">
      <c r="C259" s="4" t="n"/>
    </row>
    <row r="260" ht="15.75" customHeight="1">
      <c r="C260" s="4" t="n"/>
    </row>
    <row r="261" ht="15.75" customHeight="1">
      <c r="C261" s="4" t="n"/>
    </row>
    <row r="262" ht="15.75" customHeight="1">
      <c r="C262" s="4" t="n"/>
    </row>
    <row r="263" ht="15.75" customHeight="1">
      <c r="C263" s="4" t="n"/>
    </row>
    <row r="264" ht="15.75" customHeight="1">
      <c r="C264" s="4" t="n"/>
    </row>
    <row r="265" ht="15.75" customHeight="1">
      <c r="C265" s="4" t="n"/>
    </row>
    <row r="266" ht="15.75" customHeight="1">
      <c r="C266" s="4" t="n"/>
    </row>
    <row r="267" ht="15.75" customHeight="1">
      <c r="C267" s="4" t="n"/>
    </row>
    <row r="268" ht="15.75" customHeight="1">
      <c r="C268" s="4" t="n"/>
    </row>
    <row r="269" ht="15.75" customHeight="1">
      <c r="C269" s="4" t="n"/>
    </row>
    <row r="270" ht="15.75" customHeight="1">
      <c r="C270" s="4" t="n"/>
    </row>
    <row r="271" ht="15.75" customHeight="1">
      <c r="C271" s="4" t="n"/>
    </row>
    <row r="272" ht="15.75" customHeight="1">
      <c r="C272" s="4" t="n"/>
    </row>
    <row r="273" ht="15.75" customHeight="1">
      <c r="C273" s="4" t="n"/>
    </row>
    <row r="274" ht="15.75" customHeight="1">
      <c r="C274" s="4" t="n"/>
    </row>
    <row r="275" ht="15.75" customHeight="1">
      <c r="C275" s="4" t="n"/>
    </row>
    <row r="276" ht="15.75" customHeight="1">
      <c r="C276" s="4" t="n"/>
    </row>
    <row r="277" ht="15.75" customHeight="1">
      <c r="C277" s="4" t="n"/>
    </row>
    <row r="278" ht="15.75" customHeight="1">
      <c r="C278" s="4" t="n"/>
    </row>
    <row r="279" ht="15.75" customHeight="1">
      <c r="C279" s="4" t="n"/>
    </row>
    <row r="280" ht="15.75" customHeight="1">
      <c r="C280" s="4" t="n"/>
    </row>
    <row r="281" ht="15.75" customHeight="1">
      <c r="C281" s="4" t="n"/>
    </row>
    <row r="282" ht="15.75" customHeight="1">
      <c r="C282" s="4" t="n"/>
    </row>
    <row r="283" ht="15.75" customHeight="1">
      <c r="C283" s="4" t="n"/>
    </row>
    <row r="284" ht="15.75" customHeight="1">
      <c r="C284" s="4" t="n"/>
    </row>
    <row r="285" ht="15.75" customHeight="1">
      <c r="C285" s="4" t="n"/>
    </row>
    <row r="286" ht="15.75" customHeight="1">
      <c r="C286" s="4" t="n"/>
    </row>
    <row r="287" ht="15.75" customHeight="1">
      <c r="C287" s="4" t="n"/>
    </row>
    <row r="288" ht="15.75" customHeight="1">
      <c r="C288" s="4" t="n"/>
    </row>
    <row r="289" ht="15.75" customHeight="1">
      <c r="C289" s="4" t="n"/>
    </row>
    <row r="290" ht="15.75" customHeight="1">
      <c r="C290" s="4" t="n"/>
    </row>
    <row r="291" ht="15.75" customHeight="1">
      <c r="C291" s="4" t="n"/>
    </row>
    <row r="292" ht="15.75" customHeight="1">
      <c r="C292" s="4" t="n"/>
    </row>
    <row r="293" ht="15.75" customHeight="1">
      <c r="C293" s="4" t="n"/>
    </row>
    <row r="294" ht="15.75" customHeight="1">
      <c r="C294" s="4" t="n"/>
    </row>
    <row r="295" ht="15.75" customHeight="1">
      <c r="C295" s="4" t="n"/>
    </row>
    <row r="296" ht="15.75" customHeight="1">
      <c r="C296" s="4" t="n"/>
    </row>
    <row r="297" ht="15.75" customHeight="1">
      <c r="C297" s="4" t="n"/>
    </row>
    <row r="298" ht="15.75" customHeight="1">
      <c r="C298" s="4" t="n"/>
    </row>
    <row r="299" ht="15.75" customHeight="1">
      <c r="C299" s="4" t="n"/>
    </row>
    <row r="300" ht="15.75" customHeight="1">
      <c r="C300" s="4" t="n"/>
    </row>
    <row r="301" ht="15.75" customHeight="1">
      <c r="C301" s="4" t="n"/>
    </row>
    <row r="302" ht="15.75" customHeight="1">
      <c r="C302" s="4" t="n"/>
    </row>
    <row r="303" ht="15.75" customHeight="1">
      <c r="C303" s="4" t="n"/>
    </row>
    <row r="304" ht="15.75" customHeight="1">
      <c r="C304" s="4" t="n"/>
    </row>
    <row r="305" ht="15.75" customHeight="1">
      <c r="C305" s="4" t="n"/>
    </row>
    <row r="306" ht="15.75" customHeight="1">
      <c r="C306" s="4" t="n"/>
    </row>
    <row r="307" ht="15.75" customHeight="1">
      <c r="C307" s="4" t="n"/>
    </row>
    <row r="308" ht="15.75" customHeight="1">
      <c r="C308" s="4" t="n"/>
    </row>
    <row r="309" ht="15.75" customHeight="1">
      <c r="C309" s="4" t="n"/>
    </row>
    <row r="310" ht="15.75" customHeight="1">
      <c r="C310" s="4" t="n"/>
    </row>
    <row r="311" ht="15.75" customHeight="1">
      <c r="C311" s="4" t="n"/>
    </row>
    <row r="312" ht="15.75" customHeight="1">
      <c r="C312" s="4" t="n"/>
    </row>
    <row r="313" ht="15.75" customHeight="1">
      <c r="C313" s="4" t="n"/>
    </row>
    <row r="314" ht="15.75" customHeight="1">
      <c r="C314" s="4" t="n"/>
    </row>
    <row r="315" ht="15.75" customHeight="1">
      <c r="C315" s="4" t="n"/>
    </row>
    <row r="316" ht="15.75" customHeight="1">
      <c r="C316" s="4" t="n"/>
    </row>
    <row r="317" ht="15.75" customHeight="1">
      <c r="C317" s="4" t="n"/>
    </row>
    <row r="318" ht="15.75" customHeight="1">
      <c r="C318" s="4" t="n"/>
    </row>
    <row r="319" ht="15.75" customHeight="1">
      <c r="C319" s="4" t="n"/>
    </row>
    <row r="320" ht="15.75" customHeight="1">
      <c r="C320" s="4" t="n"/>
    </row>
    <row r="321" ht="15.75" customHeight="1">
      <c r="C321" s="4" t="n"/>
    </row>
    <row r="322" ht="15.75" customHeight="1">
      <c r="C322" s="4" t="n"/>
    </row>
    <row r="323" ht="15.75" customHeight="1">
      <c r="C323" s="4" t="n"/>
    </row>
    <row r="324" ht="15.75" customHeight="1">
      <c r="C324" s="4" t="n"/>
    </row>
    <row r="325" ht="15.75" customHeight="1">
      <c r="C325" s="4" t="n"/>
    </row>
    <row r="326" ht="15.75" customHeight="1">
      <c r="C326" s="4" t="n"/>
    </row>
    <row r="327" ht="15.75" customHeight="1">
      <c r="C327" s="4" t="n"/>
    </row>
    <row r="328" ht="15.75" customHeight="1">
      <c r="C328" s="4" t="n"/>
    </row>
    <row r="329" ht="15.75" customHeight="1">
      <c r="C329" s="4" t="n"/>
    </row>
    <row r="330" ht="15.75" customHeight="1">
      <c r="C330" s="4" t="n"/>
    </row>
    <row r="331" ht="15.75" customHeight="1">
      <c r="C331" s="4" t="n"/>
    </row>
    <row r="332" ht="15.75" customHeight="1">
      <c r="C332" s="4" t="n"/>
    </row>
    <row r="333" ht="15.75" customHeight="1">
      <c r="C333" s="4" t="n"/>
    </row>
    <row r="334" ht="15.75" customHeight="1">
      <c r="C334" s="4" t="n"/>
    </row>
    <row r="335" ht="15.75" customHeight="1">
      <c r="C335" s="4" t="n"/>
    </row>
    <row r="336" ht="15.75" customHeight="1">
      <c r="C336" s="4" t="n"/>
    </row>
    <row r="337" ht="15.75" customHeight="1">
      <c r="C337" s="4" t="n"/>
    </row>
    <row r="338" ht="15.75" customHeight="1">
      <c r="C338" s="4" t="n"/>
    </row>
    <row r="339" ht="15.75" customHeight="1">
      <c r="C339" s="4" t="n"/>
    </row>
    <row r="340" ht="15.75" customHeight="1">
      <c r="C340" s="4" t="n"/>
    </row>
    <row r="341" ht="15.75" customHeight="1">
      <c r="C341" s="4" t="n"/>
    </row>
    <row r="342" ht="15.75" customHeight="1">
      <c r="C342" s="4" t="n"/>
    </row>
    <row r="343" ht="15.75" customHeight="1">
      <c r="C343" s="4" t="n"/>
    </row>
    <row r="344" ht="15.75" customHeight="1">
      <c r="C344" s="4" t="n"/>
    </row>
    <row r="345" ht="15.75" customHeight="1">
      <c r="C345" s="4" t="n"/>
    </row>
    <row r="346" ht="15.75" customHeight="1">
      <c r="C346" s="4" t="n"/>
    </row>
    <row r="347" ht="15.75" customHeight="1">
      <c r="C347" s="4" t="n"/>
    </row>
    <row r="348" ht="15.75" customHeight="1">
      <c r="C348" s="4" t="n"/>
    </row>
    <row r="349" ht="15.75" customHeight="1">
      <c r="C349" s="4" t="n"/>
    </row>
    <row r="350" ht="15.75" customHeight="1">
      <c r="C350" s="4" t="n"/>
    </row>
    <row r="351" ht="15.75" customHeight="1">
      <c r="C351" s="4" t="n"/>
    </row>
    <row r="352" ht="15.75" customHeight="1">
      <c r="C352" s="4" t="n"/>
    </row>
    <row r="353" ht="15.75" customHeight="1">
      <c r="C353" s="4" t="n"/>
    </row>
    <row r="354" ht="15.75" customHeight="1">
      <c r="C354" s="4" t="n"/>
    </row>
    <row r="355" ht="15.75" customHeight="1">
      <c r="C355" s="4" t="n"/>
    </row>
    <row r="356" ht="15.75" customHeight="1">
      <c r="C356" s="4" t="n"/>
    </row>
    <row r="357" ht="15.75" customHeight="1">
      <c r="C357" s="4" t="n"/>
    </row>
    <row r="358" ht="15.75" customHeight="1">
      <c r="C358" s="4" t="n"/>
    </row>
    <row r="359" ht="15.75" customHeight="1">
      <c r="C359" s="4" t="n"/>
    </row>
    <row r="360" ht="15.75" customHeight="1">
      <c r="C360" s="4" t="n"/>
    </row>
    <row r="361" ht="15.75" customHeight="1">
      <c r="C361" s="4" t="n"/>
    </row>
    <row r="362" ht="15.75" customHeight="1">
      <c r="C362" s="4" t="n"/>
    </row>
    <row r="363" ht="15.75" customHeight="1">
      <c r="C363" s="4" t="n"/>
    </row>
    <row r="364" ht="15.75" customHeight="1">
      <c r="C364" s="4" t="n"/>
    </row>
    <row r="365" ht="15.75" customHeight="1">
      <c r="C365" s="4" t="n"/>
    </row>
    <row r="366" ht="15.75" customHeight="1">
      <c r="C366" s="4" t="n"/>
    </row>
    <row r="367" ht="15.75" customHeight="1">
      <c r="C367" s="4" t="n"/>
    </row>
    <row r="368" ht="15.75" customHeight="1">
      <c r="C368" s="4" t="n"/>
    </row>
    <row r="369" ht="15.75" customHeight="1">
      <c r="C369" s="4" t="n"/>
    </row>
    <row r="370" ht="15.75" customHeight="1">
      <c r="C370" s="4" t="n"/>
    </row>
    <row r="371" ht="15.75" customHeight="1">
      <c r="C371" s="4" t="n"/>
    </row>
    <row r="372" ht="15.75" customHeight="1">
      <c r="C372" s="4" t="n"/>
    </row>
    <row r="373" ht="15.75" customHeight="1">
      <c r="C373" s="4" t="n"/>
    </row>
    <row r="374" ht="15.75" customHeight="1">
      <c r="C374" s="4" t="n"/>
    </row>
    <row r="375" ht="15.75" customHeight="1">
      <c r="C375" s="4" t="n"/>
    </row>
    <row r="376" ht="15.75" customHeight="1">
      <c r="C376" s="4" t="n"/>
    </row>
    <row r="377" ht="15.75" customHeight="1">
      <c r="C377" s="4" t="n"/>
    </row>
    <row r="378" ht="15.75" customHeight="1">
      <c r="C378" s="4" t="n"/>
    </row>
    <row r="379" ht="15.75" customHeight="1">
      <c r="C379" s="4" t="n"/>
    </row>
    <row r="380" ht="15.75" customHeight="1">
      <c r="C380" s="4" t="n"/>
    </row>
    <row r="381" ht="15.75" customHeight="1">
      <c r="C381" s="4" t="n"/>
    </row>
    <row r="382" ht="15.75" customHeight="1">
      <c r="C382" s="4" t="n"/>
    </row>
    <row r="383" ht="15.75" customHeight="1">
      <c r="C383" s="4" t="n"/>
    </row>
    <row r="384" ht="15.75" customHeight="1">
      <c r="C384" s="4" t="n"/>
    </row>
    <row r="385" ht="15.75" customHeight="1">
      <c r="C385" s="4" t="n"/>
    </row>
    <row r="386" ht="15.75" customHeight="1">
      <c r="C386" s="4" t="n"/>
    </row>
    <row r="387" ht="15.75" customHeight="1">
      <c r="C387" s="4" t="n"/>
    </row>
    <row r="388" ht="15.75" customHeight="1">
      <c r="C388" s="4" t="n"/>
    </row>
    <row r="389" ht="15.75" customHeight="1">
      <c r="C389" s="4" t="n"/>
    </row>
    <row r="390" ht="15.75" customHeight="1">
      <c r="C390" s="4" t="n"/>
    </row>
    <row r="391" ht="15.75" customHeight="1">
      <c r="C391" s="4" t="n"/>
    </row>
    <row r="392" ht="15.75" customHeight="1">
      <c r="C392" s="4" t="n"/>
    </row>
    <row r="393" ht="15.75" customHeight="1">
      <c r="C393" s="4" t="n"/>
    </row>
    <row r="394" ht="15.75" customHeight="1">
      <c r="C394" s="4" t="n"/>
    </row>
    <row r="395" ht="15.75" customHeight="1">
      <c r="C395" s="4" t="n"/>
    </row>
    <row r="396" ht="15.75" customHeight="1">
      <c r="C396" s="4" t="n"/>
    </row>
    <row r="397" ht="15.75" customHeight="1">
      <c r="C397" s="4" t="n"/>
    </row>
    <row r="398" ht="15.75" customHeight="1">
      <c r="C398" s="4" t="n"/>
    </row>
    <row r="399" ht="15.75" customHeight="1">
      <c r="C399" s="4" t="n"/>
    </row>
    <row r="400" ht="15.75" customHeight="1">
      <c r="C400" s="4" t="n"/>
    </row>
    <row r="401" ht="15.75" customHeight="1">
      <c r="C401" s="4" t="n"/>
    </row>
    <row r="402" ht="15.75" customHeight="1">
      <c r="C402" s="4" t="n"/>
    </row>
    <row r="403" ht="15.75" customHeight="1">
      <c r="C403" s="4" t="n"/>
    </row>
    <row r="404" ht="15.75" customHeight="1">
      <c r="C404" s="4" t="n"/>
    </row>
    <row r="405" ht="15.75" customHeight="1">
      <c r="C405" s="4" t="n"/>
    </row>
    <row r="406" ht="15.75" customHeight="1">
      <c r="C406" s="4" t="n"/>
    </row>
    <row r="407" ht="15.75" customHeight="1">
      <c r="C407" s="4" t="n"/>
    </row>
    <row r="408" ht="15.75" customHeight="1">
      <c r="C408" s="4" t="n"/>
    </row>
    <row r="409" ht="15.75" customHeight="1">
      <c r="C409" s="4" t="n"/>
    </row>
    <row r="410" ht="15.75" customHeight="1">
      <c r="C410" s="4" t="n"/>
    </row>
    <row r="411" ht="15.75" customHeight="1">
      <c r="C411" s="4" t="n"/>
    </row>
    <row r="412" ht="15.75" customHeight="1">
      <c r="C412" s="4" t="n"/>
    </row>
    <row r="413" ht="15.75" customHeight="1">
      <c r="C413" s="4" t="n"/>
    </row>
    <row r="414" ht="15.75" customHeight="1">
      <c r="C414" s="4" t="n"/>
    </row>
    <row r="415" ht="15.75" customHeight="1">
      <c r="C415" s="4" t="n"/>
    </row>
    <row r="416" ht="15.75" customHeight="1">
      <c r="C416" s="4" t="n"/>
    </row>
    <row r="417" ht="15.75" customHeight="1">
      <c r="C417" s="4" t="n"/>
    </row>
    <row r="418" ht="15.75" customHeight="1">
      <c r="C418" s="4" t="n"/>
    </row>
    <row r="419" ht="15.75" customHeight="1">
      <c r="C419" s="4" t="n"/>
    </row>
    <row r="420" ht="15.75" customHeight="1">
      <c r="C420" s="4" t="n"/>
    </row>
    <row r="421" ht="15.75" customHeight="1">
      <c r="C421" s="4" t="n"/>
    </row>
    <row r="422" ht="15.75" customHeight="1">
      <c r="C422" s="4" t="n"/>
    </row>
    <row r="423" ht="15.75" customHeight="1">
      <c r="C423" s="4" t="n"/>
    </row>
    <row r="424" ht="15.75" customHeight="1">
      <c r="C424" s="4" t="n"/>
    </row>
    <row r="425" ht="15.75" customHeight="1">
      <c r="C425" s="4" t="n"/>
    </row>
    <row r="426" ht="15.75" customHeight="1">
      <c r="C426" s="4" t="n"/>
    </row>
    <row r="427" ht="15.75" customHeight="1">
      <c r="C427" s="4" t="n"/>
    </row>
    <row r="428" ht="15.75" customHeight="1">
      <c r="C428" s="4" t="n"/>
    </row>
    <row r="429" ht="15.75" customHeight="1">
      <c r="C429" s="4" t="n"/>
    </row>
    <row r="430" ht="15.75" customHeight="1">
      <c r="C430" s="4" t="n"/>
    </row>
    <row r="431" ht="15.75" customHeight="1">
      <c r="C431" s="4" t="n"/>
    </row>
    <row r="432" ht="15.75" customHeight="1">
      <c r="C432" s="4" t="n"/>
    </row>
    <row r="433" ht="15.75" customHeight="1">
      <c r="C433" s="4" t="n"/>
    </row>
    <row r="434" ht="15.75" customHeight="1">
      <c r="C434" s="4" t="n"/>
    </row>
    <row r="435" ht="15.75" customHeight="1">
      <c r="C435" s="4" t="n"/>
    </row>
    <row r="436" ht="15.75" customHeight="1">
      <c r="C436" s="4" t="n"/>
    </row>
    <row r="437" ht="15.75" customHeight="1">
      <c r="C437" s="4" t="n"/>
    </row>
    <row r="438" ht="15.75" customHeight="1">
      <c r="C438" s="4" t="n"/>
    </row>
    <row r="439" ht="15.75" customHeight="1">
      <c r="C439" s="4" t="n"/>
    </row>
    <row r="440" ht="15.75" customHeight="1">
      <c r="C440" s="4" t="n"/>
    </row>
    <row r="441" ht="15.75" customHeight="1">
      <c r="C441" s="4" t="n"/>
    </row>
    <row r="442" ht="15.75" customHeight="1">
      <c r="C442" s="4" t="n"/>
    </row>
    <row r="443" ht="15.75" customHeight="1">
      <c r="C443" s="4" t="n"/>
    </row>
    <row r="444" ht="15.75" customHeight="1">
      <c r="C444" s="4" t="n"/>
    </row>
    <row r="445" ht="15.75" customHeight="1">
      <c r="C445" s="4" t="n"/>
    </row>
    <row r="446" ht="15.75" customHeight="1">
      <c r="C446" s="4" t="n"/>
    </row>
    <row r="447" ht="15.75" customHeight="1">
      <c r="C447" s="4" t="n"/>
    </row>
    <row r="448" ht="15.75" customHeight="1">
      <c r="C448" s="4" t="n"/>
    </row>
    <row r="449" ht="15.75" customHeight="1">
      <c r="C449" s="4" t="n"/>
    </row>
    <row r="450" ht="15.75" customHeight="1">
      <c r="C450" s="4" t="n"/>
    </row>
    <row r="451" ht="15.75" customHeight="1">
      <c r="C451" s="4" t="n"/>
    </row>
    <row r="452" ht="15.75" customHeight="1">
      <c r="C452" s="4" t="n"/>
    </row>
    <row r="453" ht="15.75" customHeight="1">
      <c r="C453" s="4" t="n"/>
    </row>
    <row r="454" ht="15.75" customHeight="1">
      <c r="C454" s="4" t="n"/>
    </row>
    <row r="455" ht="15.75" customHeight="1">
      <c r="C455" s="4" t="n"/>
    </row>
    <row r="456" ht="15.75" customHeight="1">
      <c r="C456" s="4" t="n"/>
    </row>
    <row r="457" ht="15.75" customHeight="1">
      <c r="C457" s="4" t="n"/>
    </row>
    <row r="458" ht="15.75" customHeight="1">
      <c r="C458" s="4" t="n"/>
    </row>
    <row r="459" ht="15.75" customHeight="1">
      <c r="C459" s="4" t="n"/>
    </row>
    <row r="460" ht="15.75" customHeight="1">
      <c r="C460" s="4" t="n"/>
    </row>
    <row r="461" ht="15.75" customHeight="1">
      <c r="C461" s="4" t="n"/>
    </row>
    <row r="462" ht="15.75" customHeight="1">
      <c r="C462" s="4" t="n"/>
    </row>
    <row r="463" ht="15.75" customHeight="1">
      <c r="C463" s="4" t="n"/>
    </row>
    <row r="464" ht="15.75" customHeight="1">
      <c r="C464" s="4" t="n"/>
    </row>
    <row r="465" ht="15.75" customHeight="1">
      <c r="C465" s="4" t="n"/>
    </row>
    <row r="466" ht="15.75" customHeight="1">
      <c r="C466" s="4" t="n"/>
    </row>
    <row r="467" ht="15.75" customHeight="1">
      <c r="C467" s="4" t="n"/>
    </row>
    <row r="468" ht="15.75" customHeight="1">
      <c r="C468" s="4" t="n"/>
    </row>
    <row r="469" ht="15.75" customHeight="1">
      <c r="C469" s="4" t="n"/>
    </row>
    <row r="470" ht="15.75" customHeight="1">
      <c r="C470" s="4" t="n"/>
    </row>
    <row r="471" ht="15.75" customHeight="1">
      <c r="C471" s="4" t="n"/>
    </row>
    <row r="472" ht="15.75" customHeight="1">
      <c r="C472" s="4" t="n"/>
    </row>
    <row r="473" ht="15.75" customHeight="1">
      <c r="C473" s="4" t="n"/>
    </row>
    <row r="474" ht="15.75" customHeight="1">
      <c r="C474" s="4" t="n"/>
    </row>
    <row r="475" ht="15.75" customHeight="1">
      <c r="C475" s="4" t="n"/>
    </row>
    <row r="476" ht="15.75" customHeight="1">
      <c r="C476" s="4" t="n"/>
    </row>
    <row r="477" ht="15.75" customHeight="1">
      <c r="C477" s="4" t="n"/>
    </row>
    <row r="478" ht="15.75" customHeight="1">
      <c r="C478" s="4" t="n"/>
    </row>
    <row r="479" ht="15.75" customHeight="1">
      <c r="C479" s="4" t="n"/>
    </row>
    <row r="480" ht="15.75" customHeight="1">
      <c r="C480" s="4" t="n"/>
    </row>
    <row r="481" ht="15.75" customHeight="1">
      <c r="C481" s="4" t="n"/>
    </row>
    <row r="482" ht="15.75" customHeight="1">
      <c r="C482" s="4" t="n"/>
    </row>
    <row r="483" ht="15.75" customHeight="1">
      <c r="C483" s="4" t="n"/>
    </row>
    <row r="484" ht="15.75" customHeight="1">
      <c r="C484" s="4" t="n"/>
    </row>
    <row r="485" ht="15.75" customHeight="1">
      <c r="C485" s="4" t="n"/>
    </row>
    <row r="486" ht="15.75" customHeight="1">
      <c r="C486" s="4" t="n"/>
    </row>
    <row r="487" ht="15.75" customHeight="1">
      <c r="C487" s="4" t="n"/>
    </row>
    <row r="488" ht="15.75" customHeight="1">
      <c r="C488" s="4" t="n"/>
    </row>
    <row r="489" ht="15.75" customHeight="1">
      <c r="C489" s="4" t="n"/>
    </row>
    <row r="490" ht="15.75" customHeight="1">
      <c r="C490" s="4" t="n"/>
    </row>
    <row r="491" ht="15.75" customHeight="1">
      <c r="C491" s="4" t="n"/>
    </row>
    <row r="492" ht="15.75" customHeight="1">
      <c r="C492" s="4" t="n"/>
    </row>
    <row r="493" ht="15.75" customHeight="1">
      <c r="C493" s="4" t="n"/>
    </row>
    <row r="494" ht="15.75" customHeight="1">
      <c r="C494" s="4" t="n"/>
    </row>
    <row r="495" ht="15.75" customHeight="1">
      <c r="C495" s="4" t="n"/>
    </row>
    <row r="496" ht="15.75" customHeight="1">
      <c r="C496" s="4" t="n"/>
    </row>
    <row r="497" ht="15.75" customHeight="1">
      <c r="C497" s="4" t="n"/>
    </row>
    <row r="498" ht="15.75" customHeight="1">
      <c r="C498" s="4" t="n"/>
    </row>
    <row r="499" ht="15.75" customHeight="1">
      <c r="C499" s="4" t="n"/>
    </row>
    <row r="500" ht="15.75" customHeight="1">
      <c r="C500" s="4" t="n"/>
    </row>
    <row r="501" ht="15.75" customHeight="1">
      <c r="C501" s="4" t="n"/>
    </row>
    <row r="502" ht="15.75" customHeight="1">
      <c r="C502" s="4" t="n"/>
    </row>
    <row r="503" ht="15.75" customHeight="1">
      <c r="C503" s="4" t="n"/>
    </row>
    <row r="504" ht="15.75" customHeight="1">
      <c r="C504" s="4" t="n"/>
    </row>
    <row r="505" ht="15.75" customHeight="1">
      <c r="C505" s="4" t="n"/>
    </row>
    <row r="506" ht="15.75" customHeight="1">
      <c r="C506" s="4" t="n"/>
    </row>
    <row r="507" ht="15.75" customHeight="1">
      <c r="C507" s="4" t="n"/>
    </row>
    <row r="508" ht="15.75" customHeight="1">
      <c r="C508" s="4" t="n"/>
    </row>
    <row r="509" ht="15.75" customHeight="1">
      <c r="C509" s="4" t="n"/>
    </row>
    <row r="510" ht="15.75" customHeight="1">
      <c r="C510" s="4" t="n"/>
    </row>
    <row r="511" ht="15.75" customHeight="1">
      <c r="C511" s="4" t="n"/>
    </row>
    <row r="512" ht="15.75" customHeight="1">
      <c r="C512" s="4" t="n"/>
    </row>
    <row r="513" ht="15.75" customHeight="1">
      <c r="C513" s="4" t="n"/>
    </row>
    <row r="514" ht="15.75" customHeight="1">
      <c r="C514" s="4" t="n"/>
    </row>
    <row r="515" ht="15.75" customHeight="1">
      <c r="C515" s="4" t="n"/>
    </row>
    <row r="516" ht="15.75" customHeight="1">
      <c r="C516" s="4" t="n"/>
    </row>
    <row r="517" ht="15.75" customHeight="1">
      <c r="C517" s="4" t="n"/>
    </row>
    <row r="518" ht="15.75" customHeight="1">
      <c r="C518" s="4" t="n"/>
    </row>
    <row r="519" ht="15.75" customHeight="1">
      <c r="C519" s="4" t="n"/>
    </row>
    <row r="520" ht="15.75" customHeight="1">
      <c r="C520" s="4" t="n"/>
    </row>
    <row r="521" ht="15.75" customHeight="1">
      <c r="C521" s="4" t="n"/>
    </row>
    <row r="522" ht="15.75" customHeight="1">
      <c r="C522" s="4" t="n"/>
    </row>
    <row r="523" ht="15.75" customHeight="1">
      <c r="C523" s="4" t="n"/>
    </row>
    <row r="524" ht="15.75" customHeight="1">
      <c r="C524" s="4" t="n"/>
    </row>
    <row r="525" ht="15.75" customHeight="1">
      <c r="C525" s="4" t="n"/>
    </row>
    <row r="526" ht="15.75" customHeight="1">
      <c r="C526" s="4" t="n"/>
    </row>
    <row r="527" ht="15.75" customHeight="1">
      <c r="C527" s="4" t="n"/>
    </row>
    <row r="528" ht="15.75" customHeight="1">
      <c r="C528" s="4" t="n"/>
    </row>
    <row r="529" ht="15.75" customHeight="1">
      <c r="C529" s="4" t="n"/>
    </row>
    <row r="530" ht="15.75" customHeight="1">
      <c r="C530" s="4" t="n"/>
    </row>
    <row r="531" ht="15.75" customHeight="1">
      <c r="C531" s="4" t="n"/>
    </row>
    <row r="532" ht="15.75" customHeight="1">
      <c r="C532" s="4" t="n"/>
    </row>
    <row r="533" ht="15.75" customHeight="1">
      <c r="C533" s="4" t="n"/>
    </row>
    <row r="534" ht="15.75" customHeight="1">
      <c r="C534" s="4" t="n"/>
    </row>
    <row r="535" ht="15.75" customHeight="1">
      <c r="C535" s="4" t="n"/>
    </row>
    <row r="536" ht="15.75" customHeight="1">
      <c r="C536" s="4" t="n"/>
    </row>
    <row r="537" ht="15.75" customHeight="1">
      <c r="C537" s="4" t="n"/>
    </row>
    <row r="538" ht="15.75" customHeight="1">
      <c r="C538" s="4" t="n"/>
    </row>
    <row r="539" ht="15.75" customHeight="1">
      <c r="C539" s="4" t="n"/>
    </row>
    <row r="540" ht="15.75" customHeight="1">
      <c r="C540" s="4" t="n"/>
    </row>
    <row r="541" ht="15.75" customHeight="1">
      <c r="C541" s="4" t="n"/>
    </row>
    <row r="542" ht="15.75" customHeight="1">
      <c r="C542" s="4" t="n"/>
    </row>
    <row r="543" ht="15.75" customHeight="1">
      <c r="C543" s="4" t="n"/>
    </row>
    <row r="544" ht="15.75" customHeight="1">
      <c r="C544" s="4" t="n"/>
    </row>
    <row r="545" ht="15.75" customHeight="1">
      <c r="C545" s="4" t="n"/>
    </row>
    <row r="546" ht="15.75" customHeight="1">
      <c r="C546" s="4" t="n"/>
    </row>
    <row r="547" ht="15.75" customHeight="1">
      <c r="C547" s="4" t="n"/>
    </row>
    <row r="548" ht="15.75" customHeight="1">
      <c r="C548" s="4" t="n"/>
    </row>
    <row r="549" ht="15.75" customHeight="1">
      <c r="C549" s="4" t="n"/>
    </row>
    <row r="550" ht="15.75" customHeight="1">
      <c r="C550" s="4" t="n"/>
    </row>
    <row r="551" ht="15.75" customHeight="1">
      <c r="C551" s="4" t="n"/>
    </row>
    <row r="552" ht="15.75" customHeight="1">
      <c r="C552" s="4" t="n"/>
    </row>
    <row r="553" ht="15.75" customHeight="1">
      <c r="C553" s="4" t="n"/>
    </row>
    <row r="554" ht="15.75" customHeight="1">
      <c r="C554" s="4" t="n"/>
    </row>
    <row r="555" ht="15.75" customHeight="1">
      <c r="C555" s="4" t="n"/>
    </row>
    <row r="556" ht="15.75" customHeight="1">
      <c r="C556" s="4" t="n"/>
    </row>
    <row r="557" ht="15.75" customHeight="1">
      <c r="C557" s="4" t="n"/>
    </row>
    <row r="558" ht="15.75" customHeight="1">
      <c r="C558" s="4" t="n"/>
    </row>
    <row r="559" ht="15.75" customHeight="1">
      <c r="C559" s="4" t="n"/>
    </row>
    <row r="560" ht="15.75" customHeight="1">
      <c r="C560" s="4" t="n"/>
    </row>
    <row r="561" ht="15.75" customHeight="1">
      <c r="C561" s="4" t="n"/>
    </row>
    <row r="562" ht="15.75" customHeight="1">
      <c r="C562" s="4" t="n"/>
    </row>
    <row r="563" ht="15.75" customHeight="1">
      <c r="C563" s="4" t="n"/>
    </row>
    <row r="564" ht="15.75" customHeight="1">
      <c r="C564" s="4" t="n"/>
    </row>
    <row r="565" ht="15.75" customHeight="1">
      <c r="C565" s="4" t="n"/>
    </row>
    <row r="566" ht="15.75" customHeight="1">
      <c r="C566" s="4" t="n"/>
    </row>
    <row r="567" ht="15.75" customHeight="1">
      <c r="C567" s="4" t="n"/>
    </row>
    <row r="568" ht="15.75" customHeight="1">
      <c r="C568" s="4" t="n"/>
    </row>
    <row r="569" ht="15.75" customHeight="1">
      <c r="C569" s="4" t="n"/>
    </row>
    <row r="570" ht="15.75" customHeight="1">
      <c r="C570" s="4" t="n"/>
    </row>
    <row r="571" ht="15.75" customHeight="1">
      <c r="C571" s="4" t="n"/>
    </row>
    <row r="572" ht="15.75" customHeight="1">
      <c r="C572" s="4" t="n"/>
    </row>
    <row r="573" ht="15.75" customHeight="1">
      <c r="C573" s="4" t="n"/>
    </row>
    <row r="574" ht="15.75" customHeight="1">
      <c r="C574" s="4" t="n"/>
    </row>
    <row r="575" ht="15.75" customHeight="1">
      <c r="C575" s="4" t="n"/>
    </row>
    <row r="576" ht="15.75" customHeight="1">
      <c r="C576" s="4" t="n"/>
    </row>
    <row r="577" ht="15.75" customHeight="1">
      <c r="C577" s="4" t="n"/>
    </row>
    <row r="578" ht="15.75" customHeight="1">
      <c r="C578" s="4" t="n"/>
    </row>
    <row r="579" ht="15.75" customHeight="1">
      <c r="C579" s="4" t="n"/>
    </row>
    <row r="580" ht="15.75" customHeight="1">
      <c r="C580" s="4" t="n"/>
    </row>
    <row r="581" ht="15.75" customHeight="1">
      <c r="C581" s="4" t="n"/>
    </row>
    <row r="582" ht="15.75" customHeight="1">
      <c r="C582" s="4" t="n"/>
    </row>
    <row r="583" ht="15.75" customHeight="1">
      <c r="C583" s="4" t="n"/>
    </row>
    <row r="584" ht="15.75" customHeight="1">
      <c r="C584" s="4" t="n"/>
    </row>
    <row r="585" ht="15.75" customHeight="1">
      <c r="C585" s="4" t="n"/>
    </row>
    <row r="586" ht="15.75" customHeight="1">
      <c r="C586" s="4" t="n"/>
    </row>
    <row r="587" ht="15.75" customHeight="1">
      <c r="C587" s="4" t="n"/>
    </row>
    <row r="588" ht="15.75" customHeight="1">
      <c r="C588" s="4" t="n"/>
    </row>
    <row r="589" ht="15.75" customHeight="1">
      <c r="C589" s="4" t="n"/>
    </row>
    <row r="590" ht="15.75" customHeight="1">
      <c r="C590" s="4" t="n"/>
    </row>
    <row r="591" ht="15.75" customHeight="1">
      <c r="C591" s="4" t="n"/>
    </row>
    <row r="592" ht="15.75" customHeight="1">
      <c r="C592" s="4" t="n"/>
    </row>
    <row r="593" ht="15.75" customHeight="1">
      <c r="C593" s="4" t="n"/>
    </row>
    <row r="594" ht="15.75" customHeight="1">
      <c r="C594" s="4" t="n"/>
    </row>
    <row r="595" ht="15.75" customHeight="1">
      <c r="C595" s="4" t="n"/>
    </row>
    <row r="596" ht="15.75" customHeight="1">
      <c r="C596" s="4" t="n"/>
    </row>
    <row r="597" ht="15.75" customHeight="1">
      <c r="C597" s="4" t="n"/>
    </row>
    <row r="598" ht="15.75" customHeight="1">
      <c r="C598" s="4" t="n"/>
    </row>
    <row r="599" ht="15.75" customHeight="1">
      <c r="C599" s="4" t="n"/>
    </row>
    <row r="600" ht="15.75" customHeight="1">
      <c r="C600" s="4" t="n"/>
    </row>
    <row r="601" ht="15.75" customHeight="1">
      <c r="C601" s="4" t="n"/>
    </row>
    <row r="602" ht="15.75" customHeight="1">
      <c r="C602" s="4" t="n"/>
    </row>
    <row r="603" ht="15.75" customHeight="1">
      <c r="C603" s="4" t="n"/>
    </row>
    <row r="604" ht="15.75" customHeight="1">
      <c r="C604" s="4" t="n"/>
    </row>
    <row r="605" ht="15.75" customHeight="1">
      <c r="C605" s="4" t="n"/>
    </row>
    <row r="606" ht="15.75" customHeight="1">
      <c r="C606" s="4" t="n"/>
    </row>
    <row r="607" ht="15.75" customHeight="1">
      <c r="C607" s="4" t="n"/>
    </row>
    <row r="608" ht="15.75" customHeight="1">
      <c r="C608" s="4" t="n"/>
    </row>
    <row r="609" ht="15.75" customHeight="1">
      <c r="C609" s="4" t="n"/>
    </row>
    <row r="610" ht="15.75" customHeight="1">
      <c r="C610" s="4" t="n"/>
    </row>
    <row r="611" ht="15.75" customHeight="1">
      <c r="C611" s="4" t="n"/>
    </row>
    <row r="612" ht="15.75" customHeight="1">
      <c r="C612" s="4" t="n"/>
    </row>
    <row r="613" ht="15.75" customHeight="1">
      <c r="C613" s="4" t="n"/>
    </row>
    <row r="614" ht="15.75" customHeight="1">
      <c r="C614" s="4" t="n"/>
    </row>
    <row r="615" ht="15.75" customHeight="1">
      <c r="C615" s="4" t="n"/>
    </row>
    <row r="616" ht="15.75" customHeight="1">
      <c r="C616" s="4" t="n"/>
    </row>
    <row r="617" ht="15.75" customHeight="1">
      <c r="C617" s="4" t="n"/>
    </row>
    <row r="618" ht="15.75" customHeight="1">
      <c r="C618" s="4" t="n"/>
    </row>
    <row r="619" ht="15.75" customHeight="1">
      <c r="C619" s="4" t="n"/>
    </row>
    <row r="620" ht="15.75" customHeight="1">
      <c r="C620" s="4" t="n"/>
    </row>
    <row r="621" ht="15.75" customHeight="1">
      <c r="C621" s="4" t="n"/>
    </row>
    <row r="622" ht="15.75" customHeight="1">
      <c r="C622" s="4" t="n"/>
    </row>
    <row r="623" ht="15.75" customHeight="1">
      <c r="C623" s="4" t="n"/>
    </row>
    <row r="624" ht="15.75" customHeight="1">
      <c r="C624" s="4" t="n"/>
    </row>
    <row r="625" ht="15.75" customHeight="1">
      <c r="C625" s="4" t="n"/>
    </row>
    <row r="626" ht="15.75" customHeight="1">
      <c r="C626" s="4" t="n"/>
    </row>
    <row r="627" ht="15.75" customHeight="1">
      <c r="C627" s="4" t="n"/>
    </row>
    <row r="628" ht="15.75" customHeight="1">
      <c r="C628" s="4" t="n"/>
    </row>
    <row r="629" ht="15.75" customHeight="1">
      <c r="C629" s="4" t="n"/>
    </row>
    <row r="630" ht="15.75" customHeight="1">
      <c r="C630" s="4" t="n"/>
    </row>
    <row r="631" ht="15.75" customHeight="1">
      <c r="C631" s="4" t="n"/>
    </row>
    <row r="632" ht="15.75" customHeight="1">
      <c r="C632" s="4" t="n"/>
    </row>
    <row r="633" ht="15.75" customHeight="1">
      <c r="C633" s="4" t="n"/>
    </row>
    <row r="634" ht="15.75" customHeight="1">
      <c r="C634" s="4" t="n"/>
    </row>
    <row r="635" ht="15.75" customHeight="1">
      <c r="C635" s="4" t="n"/>
    </row>
    <row r="636" ht="15.75" customHeight="1">
      <c r="C636" s="4" t="n"/>
    </row>
    <row r="637" ht="15.75" customHeight="1">
      <c r="C637" s="4" t="n"/>
    </row>
    <row r="638" ht="15.75" customHeight="1">
      <c r="C638" s="4" t="n"/>
    </row>
    <row r="639" ht="15.75" customHeight="1">
      <c r="C639" s="4" t="n"/>
    </row>
    <row r="640" ht="15.75" customHeight="1">
      <c r="C640" s="4" t="n"/>
    </row>
    <row r="641" ht="15.75" customHeight="1">
      <c r="C641" s="4" t="n"/>
    </row>
    <row r="642" ht="15.75" customHeight="1">
      <c r="C642" s="4" t="n"/>
    </row>
    <row r="643" ht="15.75" customHeight="1">
      <c r="C643" s="4" t="n"/>
    </row>
    <row r="644" ht="15.75" customHeight="1">
      <c r="C644" s="4" t="n"/>
    </row>
    <row r="645" ht="15.75" customHeight="1">
      <c r="C645" s="4" t="n"/>
    </row>
    <row r="646" ht="15.75" customHeight="1">
      <c r="C646" s="4" t="n"/>
    </row>
    <row r="647" ht="15.75" customHeight="1">
      <c r="C647" s="4" t="n"/>
    </row>
    <row r="648" ht="15.75" customHeight="1">
      <c r="C648" s="4" t="n"/>
    </row>
    <row r="649" ht="15.75" customHeight="1">
      <c r="C649" s="4" t="n"/>
    </row>
    <row r="650" ht="15.75" customHeight="1">
      <c r="C650" s="4" t="n"/>
    </row>
    <row r="651" ht="15.75" customHeight="1">
      <c r="C651" s="4" t="n"/>
    </row>
    <row r="652" ht="15.75" customHeight="1">
      <c r="C652" s="4" t="n"/>
    </row>
    <row r="653" ht="15.75" customHeight="1">
      <c r="C653" s="4" t="n"/>
    </row>
    <row r="654" ht="15.75" customHeight="1">
      <c r="C654" s="4" t="n"/>
    </row>
    <row r="655" ht="15.75" customHeight="1">
      <c r="C655" s="4" t="n"/>
    </row>
    <row r="656" ht="15.75" customHeight="1">
      <c r="C656" s="4" t="n"/>
    </row>
    <row r="657" ht="15.75" customHeight="1">
      <c r="C657" s="4" t="n"/>
    </row>
    <row r="658" ht="15.75" customHeight="1">
      <c r="C658" s="4" t="n"/>
    </row>
    <row r="659" ht="15.75" customHeight="1">
      <c r="C659" s="4" t="n"/>
    </row>
    <row r="660" ht="15.75" customHeight="1">
      <c r="C660" s="4" t="n"/>
    </row>
    <row r="661" ht="15.75" customHeight="1">
      <c r="C661" s="4" t="n"/>
    </row>
    <row r="662" ht="15.75" customHeight="1">
      <c r="C662" s="4" t="n"/>
    </row>
    <row r="663" ht="15.75" customHeight="1">
      <c r="C663" s="4" t="n"/>
    </row>
    <row r="664" ht="15.75" customHeight="1">
      <c r="C664" s="4" t="n"/>
    </row>
    <row r="665" ht="15.75" customHeight="1">
      <c r="C665" s="4" t="n"/>
    </row>
    <row r="666" ht="15.75" customHeight="1">
      <c r="C666" s="4" t="n"/>
    </row>
    <row r="667" ht="15.75" customHeight="1">
      <c r="C667" s="4" t="n"/>
    </row>
    <row r="668" ht="15.75" customHeight="1">
      <c r="C668" s="4" t="n"/>
    </row>
    <row r="669" ht="15.75" customHeight="1">
      <c r="C669" s="4" t="n"/>
    </row>
    <row r="670" ht="15.75" customHeight="1">
      <c r="C670" s="4" t="n"/>
    </row>
    <row r="671" ht="15.75" customHeight="1">
      <c r="C671" s="4" t="n"/>
    </row>
    <row r="672" ht="15.75" customHeight="1">
      <c r="C672" s="4" t="n"/>
    </row>
    <row r="673" ht="15.75" customHeight="1">
      <c r="C673" s="4" t="n"/>
    </row>
    <row r="674" ht="15.75" customHeight="1">
      <c r="C674" s="4" t="n"/>
    </row>
    <row r="675" ht="15.75" customHeight="1">
      <c r="C675" s="4" t="n"/>
    </row>
    <row r="676" ht="15.75" customHeight="1">
      <c r="C676" s="4" t="n"/>
    </row>
    <row r="677" ht="15.75" customHeight="1">
      <c r="C677" s="4" t="n"/>
    </row>
    <row r="678" ht="15.75" customHeight="1">
      <c r="C678" s="4" t="n"/>
    </row>
    <row r="679" ht="15.75" customHeight="1">
      <c r="C679" s="4" t="n"/>
    </row>
    <row r="680" ht="15.75" customHeight="1">
      <c r="C680" s="4" t="n"/>
    </row>
    <row r="681" ht="15.75" customHeight="1">
      <c r="C681" s="4" t="n"/>
    </row>
    <row r="682" ht="15.75" customHeight="1">
      <c r="C682" s="4" t="n"/>
    </row>
    <row r="683" ht="15.75" customHeight="1">
      <c r="C683" s="4" t="n"/>
    </row>
    <row r="684" ht="15.75" customHeight="1">
      <c r="C684" s="4" t="n"/>
    </row>
    <row r="685" ht="15.75" customHeight="1">
      <c r="C685" s="4" t="n"/>
    </row>
    <row r="686" ht="15.75" customHeight="1">
      <c r="C686" s="4" t="n"/>
    </row>
    <row r="687" ht="15.75" customHeight="1">
      <c r="C687" s="4" t="n"/>
    </row>
    <row r="688" ht="15.75" customHeight="1">
      <c r="C688" s="4" t="n"/>
    </row>
    <row r="689" ht="15.75" customHeight="1">
      <c r="C689" s="4" t="n"/>
    </row>
    <row r="690" ht="15.75" customHeight="1">
      <c r="C690" s="4" t="n"/>
    </row>
    <row r="691" ht="15.75" customHeight="1">
      <c r="C691" s="4" t="n"/>
    </row>
    <row r="692" ht="15.75" customHeight="1">
      <c r="C692" s="4" t="n"/>
    </row>
    <row r="693" ht="15.75" customHeight="1">
      <c r="C693" s="4" t="n"/>
    </row>
    <row r="694" ht="15.75" customHeight="1">
      <c r="C694" s="4" t="n"/>
    </row>
    <row r="695" ht="15.75" customHeight="1">
      <c r="C695" s="4" t="n"/>
    </row>
    <row r="696" ht="15.75" customHeight="1">
      <c r="C696" s="4" t="n"/>
    </row>
    <row r="697" ht="15.75" customHeight="1">
      <c r="C697" s="4" t="n"/>
    </row>
    <row r="698" ht="15.75" customHeight="1">
      <c r="C698" s="4" t="n"/>
    </row>
    <row r="699" ht="15.75" customHeight="1">
      <c r="C699" s="4" t="n"/>
    </row>
    <row r="700" ht="15.75" customHeight="1">
      <c r="C700" s="4" t="n"/>
    </row>
    <row r="701" ht="15.75" customHeight="1">
      <c r="C701" s="4" t="n"/>
    </row>
    <row r="702" ht="15.75" customHeight="1">
      <c r="C702" s="4" t="n"/>
    </row>
    <row r="703" ht="15.75" customHeight="1">
      <c r="C703" s="4" t="n"/>
    </row>
    <row r="704" ht="15.75" customHeight="1">
      <c r="C704" s="4" t="n"/>
    </row>
    <row r="705" ht="15.75" customHeight="1">
      <c r="C705" s="4" t="n"/>
    </row>
    <row r="706" ht="15.75" customHeight="1">
      <c r="C706" s="4" t="n"/>
    </row>
    <row r="707" ht="15.75" customHeight="1">
      <c r="C707" s="4" t="n"/>
    </row>
    <row r="708" ht="15.75" customHeight="1">
      <c r="C708" s="4" t="n"/>
    </row>
    <row r="709" ht="15.75" customHeight="1">
      <c r="C709" s="4" t="n"/>
    </row>
    <row r="710" ht="15.75" customHeight="1">
      <c r="C710" s="4" t="n"/>
    </row>
    <row r="711" ht="15.75" customHeight="1">
      <c r="C711" s="4" t="n"/>
    </row>
    <row r="712" ht="15.75" customHeight="1">
      <c r="C712" s="4" t="n"/>
    </row>
    <row r="713" ht="15.75" customHeight="1">
      <c r="C713" s="4" t="n"/>
    </row>
    <row r="714" ht="15.75" customHeight="1">
      <c r="C714" s="4" t="n"/>
    </row>
    <row r="715" ht="15.75" customHeight="1">
      <c r="C715" s="4" t="n"/>
    </row>
    <row r="716" ht="15.75" customHeight="1">
      <c r="C716" s="4" t="n"/>
    </row>
    <row r="717" ht="15.75" customHeight="1">
      <c r="C717" s="4" t="n"/>
    </row>
    <row r="718" ht="15.75" customHeight="1">
      <c r="C718" s="4" t="n"/>
    </row>
    <row r="719" ht="15.75" customHeight="1">
      <c r="C719" s="4" t="n"/>
    </row>
    <row r="720" ht="15.75" customHeight="1">
      <c r="C720" s="4" t="n"/>
    </row>
    <row r="721" ht="15.75" customHeight="1">
      <c r="C721" s="4" t="n"/>
    </row>
    <row r="722" ht="15.75" customHeight="1">
      <c r="C722" s="4" t="n"/>
    </row>
    <row r="723" ht="15.75" customHeight="1">
      <c r="C723" s="4" t="n"/>
    </row>
    <row r="724" ht="15.75" customHeight="1">
      <c r="C724" s="4" t="n"/>
    </row>
    <row r="725" ht="15.75" customHeight="1">
      <c r="C725" s="4" t="n"/>
    </row>
    <row r="726" ht="15.75" customHeight="1">
      <c r="C726" s="4" t="n"/>
    </row>
    <row r="727" ht="15.75" customHeight="1">
      <c r="C727" s="4" t="n"/>
    </row>
    <row r="728" ht="15.75" customHeight="1">
      <c r="C728" s="4" t="n"/>
    </row>
    <row r="729" ht="15.75" customHeight="1">
      <c r="C729" s="4" t="n"/>
    </row>
    <row r="730" ht="15.75" customHeight="1">
      <c r="C730" s="4" t="n"/>
    </row>
    <row r="731" ht="15.75" customHeight="1">
      <c r="C731" s="4" t="n"/>
    </row>
    <row r="732" ht="15.75" customHeight="1">
      <c r="C732" s="4" t="n"/>
    </row>
    <row r="733" ht="15.75" customHeight="1">
      <c r="C733" s="4" t="n"/>
    </row>
    <row r="734" ht="15.75" customHeight="1">
      <c r="C734" s="4" t="n"/>
    </row>
    <row r="735" ht="15.75" customHeight="1">
      <c r="C735" s="4" t="n"/>
    </row>
    <row r="736" ht="15.75" customHeight="1">
      <c r="C736" s="4" t="n"/>
    </row>
    <row r="737" ht="15.75" customHeight="1">
      <c r="C737" s="4" t="n"/>
    </row>
    <row r="738" ht="15.75" customHeight="1">
      <c r="C738" s="4" t="n"/>
    </row>
    <row r="739" ht="15.75" customHeight="1">
      <c r="C739" s="4" t="n"/>
    </row>
    <row r="740" ht="15.75" customHeight="1">
      <c r="C740" s="4" t="n"/>
    </row>
    <row r="741" ht="15.75" customHeight="1">
      <c r="C741" s="4" t="n"/>
    </row>
    <row r="742" ht="15.75" customHeight="1">
      <c r="C742" s="4" t="n"/>
    </row>
    <row r="743" ht="15.75" customHeight="1">
      <c r="C743" s="4" t="n"/>
    </row>
    <row r="744" ht="15.75" customHeight="1">
      <c r="C744" s="4" t="n"/>
    </row>
    <row r="745" ht="15.75" customHeight="1">
      <c r="C745" s="4" t="n"/>
    </row>
    <row r="746" ht="15.75" customHeight="1">
      <c r="C746" s="4" t="n"/>
    </row>
    <row r="747" ht="15.75" customHeight="1">
      <c r="C747" s="4" t="n"/>
    </row>
    <row r="748" ht="15.75" customHeight="1">
      <c r="C748" s="4" t="n"/>
    </row>
    <row r="749" ht="15.75" customHeight="1">
      <c r="C749" s="4" t="n"/>
    </row>
    <row r="750" ht="15.75" customHeight="1">
      <c r="C750" s="4" t="n"/>
    </row>
    <row r="751" ht="15.75" customHeight="1">
      <c r="C751" s="4" t="n"/>
    </row>
    <row r="752" ht="15.75" customHeight="1">
      <c r="C752" s="4" t="n"/>
    </row>
    <row r="753" ht="15.75" customHeight="1">
      <c r="C753" s="4" t="n"/>
    </row>
    <row r="754" ht="15.75" customHeight="1">
      <c r="C754" s="4" t="n"/>
    </row>
    <row r="755" ht="15.75" customHeight="1">
      <c r="C755" s="4" t="n"/>
    </row>
    <row r="756" ht="15.75" customHeight="1">
      <c r="C756" s="4" t="n"/>
    </row>
    <row r="757" ht="15.75" customHeight="1">
      <c r="C757" s="4" t="n"/>
    </row>
    <row r="758" ht="15.75" customHeight="1">
      <c r="C758" s="4" t="n"/>
    </row>
    <row r="759" ht="15.75" customHeight="1">
      <c r="C759" s="4" t="n"/>
    </row>
    <row r="760" ht="15.75" customHeight="1">
      <c r="C760" s="4" t="n"/>
    </row>
    <row r="761" ht="15.75" customHeight="1">
      <c r="C761" s="4" t="n"/>
    </row>
    <row r="762" ht="15.75" customHeight="1">
      <c r="C762" s="4" t="n"/>
    </row>
    <row r="763" ht="15.75" customHeight="1">
      <c r="C763" s="4" t="n"/>
    </row>
    <row r="764" ht="15.75" customHeight="1">
      <c r="C764" s="4" t="n"/>
    </row>
    <row r="765" ht="15.75" customHeight="1">
      <c r="C765" s="4" t="n"/>
    </row>
    <row r="766" ht="15.75" customHeight="1">
      <c r="C766" s="4" t="n"/>
    </row>
    <row r="767" ht="15.75" customHeight="1">
      <c r="C767" s="4" t="n"/>
    </row>
    <row r="768" ht="15.75" customHeight="1">
      <c r="C768" s="4" t="n"/>
    </row>
    <row r="769" ht="15.75" customHeight="1">
      <c r="C769" s="4" t="n"/>
    </row>
    <row r="770" ht="15.75" customHeight="1">
      <c r="C770" s="4" t="n"/>
    </row>
    <row r="771" ht="15.75" customHeight="1">
      <c r="C771" s="4" t="n"/>
    </row>
    <row r="772" ht="15.75" customHeight="1">
      <c r="C772" s="4" t="n"/>
    </row>
    <row r="773" ht="15.75" customHeight="1">
      <c r="C773" s="4" t="n"/>
    </row>
    <row r="774" ht="15.75" customHeight="1">
      <c r="C774" s="4" t="n"/>
    </row>
    <row r="775" ht="15.75" customHeight="1">
      <c r="C775" s="4" t="n"/>
    </row>
    <row r="776" ht="15.75" customHeight="1">
      <c r="C776" s="4" t="n"/>
    </row>
    <row r="777" ht="15.75" customHeight="1">
      <c r="C777" s="4" t="n"/>
    </row>
    <row r="778" ht="15.75" customHeight="1">
      <c r="C778" s="4" t="n"/>
    </row>
    <row r="779" ht="15.75" customHeight="1">
      <c r="C779" s="4" t="n"/>
    </row>
    <row r="780" ht="15.75" customHeight="1">
      <c r="C780" s="4" t="n"/>
    </row>
    <row r="781" ht="15.75" customHeight="1">
      <c r="C781" s="4" t="n"/>
    </row>
    <row r="782" ht="15.75" customHeight="1">
      <c r="C782" s="4" t="n"/>
    </row>
    <row r="783" ht="15.75" customHeight="1">
      <c r="C783" s="4" t="n"/>
    </row>
    <row r="784" ht="15.75" customHeight="1">
      <c r="C784" s="4" t="n"/>
    </row>
    <row r="785" ht="15.75" customHeight="1">
      <c r="C785" s="4" t="n"/>
    </row>
    <row r="786" ht="15.75" customHeight="1">
      <c r="C786" s="4" t="n"/>
    </row>
    <row r="787" ht="15.75" customHeight="1">
      <c r="C787" s="4" t="n"/>
    </row>
    <row r="788" ht="15.75" customHeight="1">
      <c r="C788" s="4" t="n"/>
    </row>
    <row r="789" ht="15.75" customHeight="1">
      <c r="C789" s="4" t="n"/>
    </row>
    <row r="790" ht="15.75" customHeight="1">
      <c r="C790" s="4" t="n"/>
    </row>
    <row r="791" ht="15.75" customHeight="1">
      <c r="C791" s="4" t="n"/>
    </row>
    <row r="792" ht="15.75" customHeight="1">
      <c r="C792" s="4" t="n"/>
    </row>
    <row r="793" ht="15.75" customHeight="1">
      <c r="C793" s="4" t="n"/>
    </row>
    <row r="794" ht="15.75" customHeight="1">
      <c r="C794" s="4" t="n"/>
    </row>
    <row r="795" ht="15.75" customHeight="1">
      <c r="C795" s="4" t="n"/>
    </row>
    <row r="796" ht="15.75" customHeight="1">
      <c r="C796" s="4" t="n"/>
    </row>
    <row r="797" ht="15.75" customHeight="1">
      <c r="C797" s="4" t="n"/>
    </row>
    <row r="798" ht="15.75" customHeight="1">
      <c r="C798" s="4" t="n"/>
    </row>
    <row r="799" ht="15.75" customHeight="1">
      <c r="C799" s="4" t="n"/>
    </row>
    <row r="800" ht="15.75" customHeight="1">
      <c r="C800" s="4" t="n"/>
    </row>
    <row r="801" ht="15.75" customHeight="1">
      <c r="C801" s="4" t="n"/>
    </row>
    <row r="802" ht="15.75" customHeight="1">
      <c r="C802" s="4" t="n"/>
    </row>
    <row r="803" ht="15.75" customHeight="1">
      <c r="C803" s="4" t="n"/>
    </row>
    <row r="804" ht="15.75" customHeight="1">
      <c r="C804" s="4" t="n"/>
    </row>
    <row r="805" ht="15.75" customHeight="1">
      <c r="C805" s="4" t="n"/>
    </row>
    <row r="806" ht="15.75" customHeight="1">
      <c r="C806" s="4" t="n"/>
    </row>
    <row r="807" ht="15.75" customHeight="1">
      <c r="C807" s="4" t="n"/>
    </row>
    <row r="808" ht="15.75" customHeight="1">
      <c r="C808" s="4" t="n"/>
    </row>
    <row r="809" ht="15.75" customHeight="1">
      <c r="C809" s="4" t="n"/>
    </row>
    <row r="810" ht="15.75" customHeight="1">
      <c r="C810" s="4" t="n"/>
    </row>
    <row r="811" ht="15.75" customHeight="1">
      <c r="C811" s="4" t="n"/>
    </row>
    <row r="812" ht="15.75" customHeight="1">
      <c r="C812" s="4" t="n"/>
    </row>
    <row r="813" ht="15.75" customHeight="1">
      <c r="C813" s="4" t="n"/>
    </row>
    <row r="814" ht="15.75" customHeight="1">
      <c r="C814" s="4" t="n"/>
    </row>
    <row r="815" ht="15.75" customHeight="1">
      <c r="C815" s="4" t="n"/>
    </row>
    <row r="816" ht="15.75" customHeight="1">
      <c r="C816" s="4" t="n"/>
    </row>
    <row r="817" ht="15.75" customHeight="1">
      <c r="C817" s="4" t="n"/>
    </row>
    <row r="818" ht="15.75" customHeight="1">
      <c r="C818" s="4" t="n"/>
    </row>
    <row r="819" ht="15.75" customHeight="1">
      <c r="C819" s="4" t="n"/>
    </row>
    <row r="820" ht="15.75" customHeight="1">
      <c r="C820" s="4" t="n"/>
    </row>
    <row r="821" ht="15.75" customHeight="1">
      <c r="C821" s="4" t="n"/>
    </row>
    <row r="822" ht="15.75" customHeight="1">
      <c r="C822" s="4" t="n"/>
    </row>
    <row r="823" ht="15.75" customHeight="1">
      <c r="C823" s="4" t="n"/>
    </row>
    <row r="824" ht="15.75" customHeight="1">
      <c r="C824" s="4" t="n"/>
    </row>
    <row r="825" ht="15.75" customHeight="1">
      <c r="C825" s="4" t="n"/>
    </row>
    <row r="826" ht="15.75" customHeight="1">
      <c r="C826" s="4" t="n"/>
    </row>
    <row r="827" ht="15.75" customHeight="1">
      <c r="C827" s="4" t="n"/>
    </row>
    <row r="828" ht="15.75" customHeight="1">
      <c r="C828" s="4" t="n"/>
    </row>
    <row r="829" ht="15.75" customHeight="1">
      <c r="C829" s="4" t="n"/>
    </row>
    <row r="830" ht="15.75" customHeight="1">
      <c r="C830" s="4" t="n"/>
    </row>
    <row r="831" ht="15.75" customHeight="1">
      <c r="C831" s="4" t="n"/>
    </row>
    <row r="832" ht="15.75" customHeight="1">
      <c r="C832" s="4" t="n"/>
    </row>
    <row r="833" ht="15.75" customHeight="1">
      <c r="C833" s="4" t="n"/>
    </row>
    <row r="834" ht="15.75" customHeight="1">
      <c r="C834" s="4" t="n"/>
    </row>
    <row r="835" ht="15.75" customHeight="1">
      <c r="C835" s="4" t="n"/>
    </row>
    <row r="836" ht="15.75" customHeight="1">
      <c r="C836" s="4" t="n"/>
    </row>
    <row r="837" ht="15.75" customHeight="1">
      <c r="C837" s="4" t="n"/>
    </row>
    <row r="838" ht="15.75" customHeight="1">
      <c r="C838" s="4" t="n"/>
    </row>
    <row r="839" ht="15.75" customHeight="1">
      <c r="C839" s="4" t="n"/>
    </row>
    <row r="840" ht="15.75" customHeight="1">
      <c r="C840" s="4" t="n"/>
    </row>
    <row r="841" ht="15.75" customHeight="1">
      <c r="C841" s="4" t="n"/>
    </row>
    <row r="842" ht="15.75" customHeight="1">
      <c r="C842" s="4" t="n"/>
    </row>
    <row r="843" ht="15.75" customHeight="1">
      <c r="C843" s="4" t="n"/>
    </row>
    <row r="844" ht="15.75" customHeight="1">
      <c r="C844" s="4" t="n"/>
    </row>
    <row r="845" ht="15.75" customHeight="1">
      <c r="C845" s="4" t="n"/>
    </row>
    <row r="846" ht="15.75" customHeight="1">
      <c r="C846" s="4" t="n"/>
    </row>
    <row r="847" ht="15.75" customHeight="1">
      <c r="C847" s="4" t="n"/>
    </row>
    <row r="848" ht="15.75" customHeight="1">
      <c r="C848" s="4" t="n"/>
    </row>
    <row r="849" ht="15.75" customHeight="1">
      <c r="C849" s="4" t="n"/>
    </row>
    <row r="850" ht="15.75" customHeight="1">
      <c r="C850" s="4" t="n"/>
    </row>
    <row r="851" ht="15.75" customHeight="1">
      <c r="C851" s="4" t="n"/>
    </row>
    <row r="852" ht="15.75" customHeight="1">
      <c r="C852" s="4" t="n"/>
    </row>
    <row r="853" ht="15.75" customHeight="1">
      <c r="C853" s="4" t="n"/>
    </row>
    <row r="854" ht="15.75" customHeight="1">
      <c r="C854" s="4" t="n"/>
    </row>
    <row r="855" ht="15.75" customHeight="1">
      <c r="C855" s="4" t="n"/>
    </row>
    <row r="856" ht="15.75" customHeight="1">
      <c r="C856" s="4" t="n"/>
    </row>
    <row r="857" ht="15.75" customHeight="1">
      <c r="C857" s="4" t="n"/>
    </row>
    <row r="858" ht="15.75" customHeight="1">
      <c r="C858" s="4" t="n"/>
    </row>
    <row r="859" ht="15.75" customHeight="1">
      <c r="C859" s="4" t="n"/>
    </row>
    <row r="860" ht="15.75" customHeight="1">
      <c r="C860" s="4" t="n"/>
    </row>
    <row r="861" ht="15.75" customHeight="1">
      <c r="C861" s="4" t="n"/>
    </row>
    <row r="862" ht="15.75" customHeight="1">
      <c r="C862" s="4" t="n"/>
    </row>
    <row r="863" ht="15.75" customHeight="1">
      <c r="C863" s="4" t="n"/>
    </row>
    <row r="864" ht="15.75" customHeight="1">
      <c r="C864" s="4" t="n"/>
    </row>
    <row r="865" ht="15.75" customHeight="1">
      <c r="C865" s="4" t="n"/>
    </row>
    <row r="866" ht="15.75" customHeight="1">
      <c r="C866" s="4" t="n"/>
    </row>
    <row r="867" ht="15.75" customHeight="1">
      <c r="C867" s="4" t="n"/>
    </row>
    <row r="868" ht="15.75" customHeight="1">
      <c r="C868" s="4" t="n"/>
    </row>
    <row r="869" ht="15.75" customHeight="1">
      <c r="C869" s="4" t="n"/>
    </row>
    <row r="870" ht="15.75" customHeight="1">
      <c r="C870" s="4" t="n"/>
    </row>
    <row r="871" ht="15.75" customHeight="1">
      <c r="C871" s="4" t="n"/>
    </row>
    <row r="872" ht="15.75" customHeight="1">
      <c r="C872" s="4" t="n"/>
    </row>
    <row r="873" ht="15.75" customHeight="1">
      <c r="C873" s="4" t="n"/>
    </row>
    <row r="874" ht="15.75" customHeight="1">
      <c r="C874" s="4" t="n"/>
    </row>
    <row r="875" ht="15.75" customHeight="1">
      <c r="C875" s="4" t="n"/>
    </row>
    <row r="876" ht="15.75" customHeight="1">
      <c r="C876" s="4" t="n"/>
    </row>
    <row r="877" ht="15.75" customHeight="1">
      <c r="C877" s="4" t="n"/>
    </row>
    <row r="878" ht="15.75" customHeight="1">
      <c r="C878" s="4" t="n"/>
    </row>
    <row r="879" ht="15.75" customHeight="1">
      <c r="C879" s="4" t="n"/>
    </row>
    <row r="880" ht="15.75" customHeight="1">
      <c r="C880" s="4" t="n"/>
    </row>
    <row r="881" ht="15.75" customHeight="1">
      <c r="C881" s="4" t="n"/>
    </row>
    <row r="882" ht="15.75" customHeight="1">
      <c r="C882" s="4" t="n"/>
    </row>
    <row r="883" ht="15.75" customHeight="1">
      <c r="C883" s="4" t="n"/>
    </row>
    <row r="884" ht="15.75" customHeight="1">
      <c r="C884" s="4" t="n"/>
    </row>
    <row r="885" ht="15.75" customHeight="1">
      <c r="C885" s="4" t="n"/>
    </row>
    <row r="886" ht="15.75" customHeight="1">
      <c r="C886" s="4" t="n"/>
    </row>
    <row r="887" ht="15.75" customHeight="1">
      <c r="C887" s="4" t="n"/>
    </row>
    <row r="888" ht="15.75" customHeight="1">
      <c r="C888" s="4" t="n"/>
    </row>
    <row r="889" ht="15.75" customHeight="1">
      <c r="C889" s="4" t="n"/>
    </row>
    <row r="890" ht="15.75" customHeight="1">
      <c r="C890" s="4" t="n"/>
    </row>
    <row r="891" ht="15.75" customHeight="1">
      <c r="C891" s="4" t="n"/>
    </row>
    <row r="892" ht="15.75" customHeight="1">
      <c r="C892" s="4" t="n"/>
    </row>
    <row r="893" ht="15.75" customHeight="1">
      <c r="C893" s="4" t="n"/>
    </row>
    <row r="894" ht="15.75" customHeight="1">
      <c r="C894" s="4" t="n"/>
    </row>
    <row r="895" ht="15.75" customHeight="1">
      <c r="C895" s="4" t="n"/>
    </row>
    <row r="896" ht="15.75" customHeight="1">
      <c r="C896" s="4" t="n"/>
    </row>
    <row r="897" ht="15.75" customHeight="1">
      <c r="C897" s="4" t="n"/>
    </row>
    <row r="898" ht="15.75" customHeight="1">
      <c r="C898" s="4" t="n"/>
    </row>
    <row r="899" ht="15.75" customHeight="1">
      <c r="C899" s="4" t="n"/>
    </row>
    <row r="900" ht="15.75" customHeight="1">
      <c r="C900" s="4" t="n"/>
    </row>
    <row r="901" ht="15.75" customHeight="1">
      <c r="C901" s="4" t="n"/>
    </row>
    <row r="902" ht="15.75" customHeight="1">
      <c r="C902" s="4" t="n"/>
    </row>
    <row r="903" ht="15.75" customHeight="1">
      <c r="C903" s="4" t="n"/>
    </row>
    <row r="904" ht="15.75" customHeight="1">
      <c r="C904" s="4" t="n"/>
    </row>
    <row r="905" ht="15.75" customHeight="1">
      <c r="C905" s="4" t="n"/>
    </row>
    <row r="906" ht="15.75" customHeight="1">
      <c r="C906" s="4" t="n"/>
    </row>
    <row r="907" ht="15.75" customHeight="1">
      <c r="C907" s="4" t="n"/>
    </row>
    <row r="908" ht="15.75" customHeight="1">
      <c r="C908" s="4" t="n"/>
    </row>
    <row r="909" ht="15.75" customHeight="1">
      <c r="C909" s="4" t="n"/>
    </row>
    <row r="910" ht="15.75" customHeight="1">
      <c r="C910" s="4" t="n"/>
    </row>
    <row r="911" ht="15.75" customHeight="1">
      <c r="C911" s="4" t="n"/>
    </row>
    <row r="912" ht="15.75" customHeight="1">
      <c r="C912" s="4" t="n"/>
    </row>
    <row r="913" ht="15.75" customHeight="1">
      <c r="C913" s="4" t="n"/>
    </row>
    <row r="914" ht="15.75" customHeight="1">
      <c r="C914" s="4" t="n"/>
    </row>
    <row r="915" ht="15.75" customHeight="1">
      <c r="C915" s="4" t="n"/>
    </row>
    <row r="916" ht="15.75" customHeight="1">
      <c r="C916" s="4" t="n"/>
    </row>
    <row r="917" ht="15.75" customHeight="1">
      <c r="C917" s="4" t="n"/>
    </row>
    <row r="918" ht="15.75" customHeight="1">
      <c r="C918" s="4" t="n"/>
    </row>
    <row r="919" ht="15.75" customHeight="1">
      <c r="C919" s="4" t="n"/>
    </row>
    <row r="920" ht="15.75" customHeight="1">
      <c r="C920" s="4" t="n"/>
    </row>
    <row r="921" ht="15.75" customHeight="1">
      <c r="C921" s="4" t="n"/>
    </row>
    <row r="922" ht="15.75" customHeight="1">
      <c r="C922" s="4" t="n"/>
    </row>
    <row r="923" ht="15.75" customHeight="1">
      <c r="C923" s="4" t="n"/>
    </row>
    <row r="924" ht="15.75" customHeight="1">
      <c r="C924" s="4" t="n"/>
    </row>
    <row r="925" ht="15.75" customHeight="1">
      <c r="C925" s="4" t="n"/>
    </row>
    <row r="926" ht="15.75" customHeight="1">
      <c r="C926" s="4" t="n"/>
    </row>
    <row r="927" ht="15.75" customHeight="1">
      <c r="C927" s="4" t="n"/>
    </row>
    <row r="928" ht="15.75" customHeight="1">
      <c r="C928" s="4" t="n"/>
    </row>
    <row r="929" ht="15.75" customHeight="1">
      <c r="C929" s="4" t="n"/>
    </row>
    <row r="930" ht="15.75" customHeight="1">
      <c r="C930" s="4" t="n"/>
    </row>
    <row r="931" ht="15.75" customHeight="1">
      <c r="C931" s="4" t="n"/>
    </row>
    <row r="932" ht="15.75" customHeight="1">
      <c r="C932" s="4" t="n"/>
    </row>
    <row r="933" ht="15.75" customHeight="1">
      <c r="C933" s="4" t="n"/>
    </row>
    <row r="934" ht="15.75" customHeight="1">
      <c r="C934" s="4" t="n"/>
    </row>
    <row r="935" ht="15.75" customHeight="1">
      <c r="C935" s="4" t="n"/>
    </row>
    <row r="936" ht="15.75" customHeight="1">
      <c r="C936" s="4" t="n"/>
    </row>
    <row r="937" ht="15.75" customHeight="1">
      <c r="C937" s="4" t="n"/>
    </row>
    <row r="938" ht="15.75" customHeight="1">
      <c r="C938" s="4" t="n"/>
    </row>
    <row r="939" ht="15.75" customHeight="1">
      <c r="C939" s="4" t="n"/>
    </row>
    <row r="940" ht="15.75" customHeight="1">
      <c r="C940" s="4" t="n"/>
    </row>
    <row r="941" ht="15.75" customHeight="1">
      <c r="C941" s="4" t="n"/>
    </row>
    <row r="942" ht="15.75" customHeight="1">
      <c r="C942" s="4" t="n"/>
    </row>
    <row r="943" ht="15.75" customHeight="1">
      <c r="C943" s="4" t="n"/>
    </row>
    <row r="944" ht="15.75" customHeight="1">
      <c r="C944" s="4" t="n"/>
    </row>
    <row r="945" ht="15.75" customHeight="1">
      <c r="C945" s="4" t="n"/>
    </row>
    <row r="946" ht="15.75" customHeight="1">
      <c r="C946" s="4" t="n"/>
    </row>
    <row r="947" ht="15.75" customHeight="1">
      <c r="C947" s="4" t="n"/>
    </row>
    <row r="948" ht="15.75" customHeight="1">
      <c r="C948" s="4" t="n"/>
    </row>
    <row r="949" ht="15.75" customHeight="1">
      <c r="C949" s="4" t="n"/>
    </row>
    <row r="950" ht="15.75" customHeight="1">
      <c r="C950" s="4" t="n"/>
    </row>
    <row r="951" ht="15.75" customHeight="1">
      <c r="C951" s="4" t="n"/>
    </row>
    <row r="952" ht="15.75" customHeight="1">
      <c r="C952" s="4" t="n"/>
    </row>
    <row r="953" ht="15.75" customHeight="1">
      <c r="C953" s="4" t="n"/>
    </row>
    <row r="954" ht="15.75" customHeight="1">
      <c r="C954" s="4" t="n"/>
    </row>
    <row r="955" ht="15.75" customHeight="1">
      <c r="C955" s="4" t="n"/>
    </row>
    <row r="956" ht="15.75" customHeight="1">
      <c r="C956" s="4" t="n"/>
    </row>
    <row r="957" ht="15.75" customHeight="1">
      <c r="C957" s="4" t="n"/>
    </row>
    <row r="958" ht="15.75" customHeight="1">
      <c r="C958" s="4" t="n"/>
    </row>
    <row r="959" ht="15.75" customHeight="1">
      <c r="C959" s="4" t="n"/>
    </row>
    <row r="960" ht="15.75" customHeight="1">
      <c r="C960" s="4" t="n"/>
    </row>
    <row r="961" ht="15.75" customHeight="1">
      <c r="C961" s="4" t="n"/>
    </row>
    <row r="962" ht="15.75" customHeight="1">
      <c r="C962" s="4" t="n"/>
    </row>
    <row r="963" ht="15.75" customHeight="1">
      <c r="C963" s="4" t="n"/>
    </row>
    <row r="964" ht="15.75" customHeight="1">
      <c r="C964" s="4" t="n"/>
    </row>
    <row r="965" ht="15.75" customHeight="1">
      <c r="C965" s="4" t="n"/>
    </row>
    <row r="966" ht="15.75" customHeight="1">
      <c r="C966" s="4" t="n"/>
    </row>
    <row r="967" ht="15.75" customHeight="1">
      <c r="C967" s="4" t="n"/>
    </row>
    <row r="968" ht="15.75" customHeight="1">
      <c r="C968" s="4" t="n"/>
    </row>
    <row r="969" ht="15.75" customHeight="1">
      <c r="C969" s="4" t="n"/>
    </row>
    <row r="970" ht="15.75" customHeight="1">
      <c r="C970" s="4" t="n"/>
    </row>
    <row r="971" ht="15.75" customHeight="1">
      <c r="C971" s="4" t="n"/>
    </row>
    <row r="972" ht="15.75" customHeight="1">
      <c r="C972" s="4" t="n"/>
    </row>
    <row r="973" ht="15.75" customHeight="1">
      <c r="C973" s="4" t="n"/>
    </row>
    <row r="974" ht="15.75" customHeight="1">
      <c r="C974" s="4" t="n"/>
    </row>
    <row r="975" ht="15.75" customHeight="1">
      <c r="C975" s="4" t="n"/>
    </row>
    <row r="976" ht="15.75" customHeight="1">
      <c r="C976" s="4" t="n"/>
    </row>
    <row r="977" ht="15.75" customHeight="1">
      <c r="C977" s="4" t="n"/>
    </row>
    <row r="978" ht="15.75" customHeight="1">
      <c r="C978" s="4" t="n"/>
    </row>
    <row r="979" ht="15.75" customHeight="1">
      <c r="C979" s="4" t="n"/>
    </row>
    <row r="980" ht="15.75" customHeight="1">
      <c r="C980" s="4" t="n"/>
    </row>
    <row r="981" ht="15.75" customHeight="1">
      <c r="C981" s="4" t="n"/>
    </row>
    <row r="982" ht="15.75" customHeight="1">
      <c r="C982" s="4" t="n"/>
    </row>
    <row r="983" ht="15.75" customHeight="1">
      <c r="C983" s="4" t="n"/>
    </row>
    <row r="984" ht="15.75" customHeight="1">
      <c r="C984" s="4" t="n"/>
    </row>
    <row r="985" ht="15.75" customHeight="1">
      <c r="C985" s="4" t="n"/>
    </row>
    <row r="986" ht="15.75" customHeight="1">
      <c r="C986" s="4" t="n"/>
    </row>
    <row r="987" ht="15.75" customHeight="1">
      <c r="C987" s="4" t="n"/>
    </row>
    <row r="988" ht="15.75" customHeight="1">
      <c r="C988" s="4" t="n"/>
    </row>
    <row r="989" ht="15.75" customHeight="1">
      <c r="C989" s="4" t="n"/>
    </row>
    <row r="990" ht="15.75" customHeight="1">
      <c r="C990" s="4" t="n"/>
    </row>
    <row r="991" ht="15.75" customHeight="1">
      <c r="C991" s="4" t="n"/>
    </row>
    <row r="992" ht="15.75" customHeight="1">
      <c r="C992" s="4" t="n"/>
    </row>
    <row r="993" ht="15.75" customHeight="1">
      <c r="C993" s="4" t="n"/>
    </row>
    <row r="994" ht="15.75" customHeight="1">
      <c r="C994" s="4" t="n"/>
    </row>
    <row r="995" ht="15.75" customHeight="1">
      <c r="C995" s="4" t="n"/>
    </row>
    <row r="996" ht="15.75" customHeight="1">
      <c r="C996" s="4" t="n"/>
    </row>
    <row r="997" ht="15.75" customHeight="1">
      <c r="C997" s="4" t="n"/>
    </row>
    <row r="998" ht="15.75" customHeight="1">
      <c r="C998" s="4" t="n"/>
    </row>
    <row r="999" ht="15.75" customHeight="1">
      <c r="C999" s="4" t="n"/>
    </row>
    <row r="1000" ht="15.75" customHeight="1">
      <c r="C1000" s="4" t="n"/>
    </row>
    <row r="1001" ht="15.75" customHeight="1">
      <c r="C1001" s="4" t="n"/>
    </row>
    <row r="1002" ht="15.75" customHeight="1">
      <c r="C1002" s="4" t="n"/>
    </row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B7" sqref="B7"/>
    </sheetView>
  </sheetViews>
  <sheetFormatPr baseColWidth="8" defaultColWidth="12.6640625" defaultRowHeight="15" customHeight="1"/>
  <cols>
    <col width="4.83203125" customWidth="1" min="1" max="1"/>
    <col width="30.4140625" bestFit="1" customWidth="1" min="2" max="2"/>
    <col width="23.9140625" customWidth="1" min="3" max="3"/>
    <col width="18.9140625" customWidth="1" min="4" max="4"/>
    <col width="16.75" customWidth="1" min="5" max="5"/>
    <col width="22.5" customWidth="1" min="6" max="6"/>
    <col width="8.75" customWidth="1" min="7" max="7"/>
    <col width="14.4140625" customWidth="1" min="8" max="27"/>
  </cols>
  <sheetData>
    <row r="1" ht="26" customHeight="1">
      <c r="B1" s="27" t="inlineStr">
        <is>
          <t>Property Type</t>
        </is>
      </c>
      <c r="C1" s="27" t="inlineStr">
        <is>
          <t>Current Market Value</t>
        </is>
      </c>
      <c r="D1" s="27" t="inlineStr">
        <is>
          <t>Loan Outstanding</t>
        </is>
      </c>
      <c r="E1" s="27" t="inlineStr">
        <is>
          <t>Rental Income</t>
        </is>
      </c>
      <c r="F1" s="27" t="inlineStr">
        <is>
          <t>Optional Remarks /Comments</t>
        </is>
      </c>
    </row>
    <row r="2" ht="14" customHeight="1">
      <c r="B2" s="49" t="inlineStr">
        <is>
          <t xml:space="preserve">Residential 4 story building </t>
        </is>
      </c>
      <c r="C2" s="50" t="n"/>
      <c r="D2" s="50" t="n"/>
      <c r="E2" s="50" t="n"/>
      <c r="F2" s="49" t="n"/>
    </row>
    <row r="3" ht="14" customHeight="1">
      <c r="B3" s="122" t="n"/>
      <c r="C3" s="50" t="n"/>
      <c r="D3" s="50" t="n"/>
      <c r="E3" s="50" t="n"/>
      <c r="F3" s="49" t="n"/>
    </row>
    <row r="4" ht="14" customHeight="1">
      <c r="B4" s="49" t="n"/>
      <c r="C4" s="50" t="n"/>
      <c r="D4" s="50" t="n"/>
      <c r="E4" s="50" t="n"/>
      <c r="F4" s="49" t="n"/>
    </row>
    <row r="5" ht="14" customHeight="1">
      <c r="B5" s="51" t="n"/>
      <c r="C5" s="50" t="n"/>
      <c r="D5" s="50" t="n"/>
      <c r="E5" s="50" t="n"/>
      <c r="F5" s="51" t="n"/>
    </row>
    <row r="6" ht="14" customHeight="1">
      <c r="B6" s="51" t="n"/>
      <c r="C6" s="52" t="n"/>
      <c r="D6" s="52" t="n"/>
      <c r="E6" s="52" t="n"/>
      <c r="F6" s="51" t="n"/>
    </row>
    <row r="7" ht="14" customHeight="1">
      <c r="B7" s="51" t="n"/>
      <c r="C7" s="52" t="n"/>
      <c r="D7" s="52" t="n"/>
      <c r="E7" s="52" t="n"/>
      <c r="F7" s="51" t="n"/>
    </row>
    <row r="8" ht="14" customHeight="1">
      <c r="B8" s="51" t="n"/>
      <c r="C8" s="52" t="n"/>
      <c r="D8" s="52" t="n"/>
      <c r="E8" s="52" t="n"/>
      <c r="F8" s="51" t="n"/>
    </row>
    <row r="9" ht="14" customHeight="1">
      <c r="B9" s="51" t="n"/>
      <c r="C9" s="52" t="n"/>
      <c r="D9" s="52" t="n"/>
      <c r="E9" s="52" t="n"/>
      <c r="F9" s="51" t="n"/>
    </row>
    <row r="10" ht="14" customHeight="1">
      <c r="B10" s="67" t="n"/>
      <c r="C10" s="77">
        <f>SUM(C2:C9)</f>
        <v/>
      </c>
      <c r="D10" s="77">
        <f>SUM(D2:D9)</f>
        <v/>
      </c>
      <c r="E10" s="77">
        <f>SUM(E2:E9)</f>
        <v/>
      </c>
      <c r="F10" s="78" t="n"/>
    </row>
    <row r="11" ht="14" customHeight="1">
      <c r="C11" s="4" t="n"/>
      <c r="D11" s="4" t="n"/>
      <c r="E11" s="4" t="n"/>
    </row>
    <row r="12" ht="14" customHeight="1">
      <c r="C12" s="4" t="n"/>
      <c r="D12" s="4" t="n"/>
      <c r="E12" s="4" t="n"/>
    </row>
    <row r="13" ht="14" customHeight="1">
      <c r="C13" s="4" t="n"/>
      <c r="D13" s="4" t="n"/>
      <c r="E13" s="4" t="n"/>
    </row>
    <row r="14" ht="14" customHeight="1">
      <c r="C14" s="4" t="n"/>
      <c r="D14" s="4" t="n"/>
      <c r="E14" s="4" t="n"/>
    </row>
    <row r="15" ht="14" customHeight="1">
      <c r="C15" s="4" t="n"/>
      <c r="D15" s="4" t="n"/>
      <c r="E15" s="4" t="n"/>
    </row>
    <row r="16" ht="14" customHeight="1">
      <c r="C16" s="4" t="n"/>
      <c r="D16" s="4" t="n"/>
      <c r="E16" s="4" t="n"/>
    </row>
    <row r="17" ht="14" customHeight="1">
      <c r="C17" s="4" t="n"/>
      <c r="D17" s="4" t="n"/>
      <c r="E17" s="4" t="n"/>
    </row>
    <row r="18" ht="14" customHeight="1">
      <c r="C18" s="4" t="n"/>
      <c r="D18" s="4" t="n"/>
      <c r="E18" s="4" t="n"/>
    </row>
    <row r="19" ht="14" customHeight="1">
      <c r="C19" s="4" t="n"/>
      <c r="D19" s="4" t="n"/>
      <c r="E19" s="4" t="n"/>
    </row>
    <row r="20" ht="14" customHeight="1">
      <c r="C20" s="4" t="n"/>
      <c r="D20" s="4" t="n"/>
      <c r="E20" s="4" t="n"/>
    </row>
    <row r="21" ht="15.75" customHeight="1">
      <c r="C21" s="4" t="n"/>
      <c r="D21" s="4" t="n"/>
      <c r="E21" s="4" t="n"/>
    </row>
    <row r="22" ht="15.75" customHeight="1">
      <c r="C22" s="4" t="n"/>
      <c r="D22" s="4" t="n"/>
      <c r="E22" s="4" t="n"/>
    </row>
    <row r="23" ht="15.75" customHeight="1">
      <c r="C23" s="4" t="n"/>
      <c r="D23" s="4" t="n"/>
      <c r="E23" s="4" t="n"/>
    </row>
    <row r="24" ht="15.75" customHeight="1">
      <c r="C24" s="4" t="n"/>
      <c r="D24" s="4" t="n"/>
      <c r="E24" s="4" t="n"/>
    </row>
    <row r="25" ht="15.75" customHeight="1">
      <c r="C25" s="4" t="n"/>
      <c r="D25" s="4" t="n"/>
      <c r="E25" s="4" t="n"/>
    </row>
    <row r="26" ht="15.75" customHeight="1">
      <c r="C26" s="4" t="n"/>
      <c r="D26" s="4" t="n"/>
      <c r="E26" s="4" t="n"/>
    </row>
    <row r="27" ht="15.75" customHeight="1">
      <c r="C27" s="4" t="n"/>
      <c r="D27" s="4" t="n"/>
      <c r="E27" s="4" t="n"/>
    </row>
    <row r="28" ht="15.75" customHeight="1">
      <c r="C28" s="4" t="n"/>
      <c r="D28" s="4" t="n"/>
      <c r="E28" s="4" t="n"/>
    </row>
    <row r="29" ht="15.75" customHeight="1">
      <c r="C29" s="4" t="n"/>
      <c r="D29" s="4" t="n"/>
      <c r="E29" s="4" t="n"/>
    </row>
    <row r="30" ht="15.75" customHeight="1">
      <c r="C30" s="4" t="n"/>
      <c r="D30" s="4" t="n"/>
      <c r="E30" s="4" t="n"/>
    </row>
    <row r="31" ht="15.75" customHeight="1">
      <c r="C31" s="4" t="n"/>
      <c r="D31" s="4" t="n"/>
      <c r="E31" s="4" t="n"/>
    </row>
    <row r="32" ht="15.75" customHeight="1">
      <c r="C32" s="4" t="n"/>
      <c r="D32" s="4" t="n"/>
      <c r="E32" s="4" t="n"/>
    </row>
    <row r="33" ht="15.75" customHeight="1">
      <c r="C33" s="4" t="n"/>
      <c r="D33" s="4" t="n"/>
      <c r="E33" s="4" t="n"/>
    </row>
    <row r="34" ht="15.75" customHeight="1">
      <c r="C34" s="4" t="n"/>
      <c r="D34" s="4" t="n"/>
      <c r="E34" s="4" t="n"/>
    </row>
    <row r="35" ht="15.75" customHeight="1">
      <c r="C35" s="4" t="n"/>
      <c r="D35" s="4" t="n"/>
      <c r="E35" s="4" t="n"/>
    </row>
    <row r="36" ht="15.75" customHeight="1">
      <c r="C36" s="4" t="n"/>
      <c r="D36" s="4" t="n"/>
      <c r="E36" s="4" t="n"/>
    </row>
    <row r="37" ht="15.75" customHeight="1">
      <c r="C37" s="4" t="n"/>
      <c r="D37" s="4" t="n"/>
      <c r="E37" s="4" t="n"/>
    </row>
    <row r="38" ht="15.75" customHeight="1">
      <c r="C38" s="4" t="n"/>
      <c r="D38" s="4" t="n"/>
      <c r="E38" s="4" t="n"/>
    </row>
    <row r="39" ht="15.75" customHeight="1">
      <c r="C39" s="4" t="n"/>
      <c r="D39" s="4" t="n"/>
      <c r="E39" s="4" t="n"/>
    </row>
    <row r="40" ht="15.75" customHeight="1">
      <c r="C40" s="4" t="n"/>
      <c r="D40" s="4" t="n"/>
      <c r="E40" s="4" t="n"/>
    </row>
    <row r="41" ht="15.75" customHeight="1">
      <c r="C41" s="4" t="n"/>
      <c r="D41" s="4" t="n"/>
      <c r="E41" s="4" t="n"/>
    </row>
    <row r="42" ht="15.75" customHeight="1">
      <c r="C42" s="4" t="n"/>
      <c r="D42" s="4" t="n"/>
      <c r="E42" s="4" t="n"/>
    </row>
    <row r="43" ht="15.75" customHeight="1">
      <c r="C43" s="4" t="n"/>
      <c r="D43" s="4" t="n"/>
      <c r="E43" s="4" t="n"/>
    </row>
    <row r="44" ht="15.75" customHeight="1">
      <c r="C44" s="4" t="n"/>
      <c r="D44" s="4" t="n"/>
      <c r="E44" s="4" t="n"/>
    </row>
    <row r="45" ht="15.75" customHeight="1">
      <c r="C45" s="4" t="n"/>
      <c r="D45" s="4" t="n"/>
      <c r="E45" s="4" t="n"/>
    </row>
    <row r="46" ht="15.75" customHeight="1">
      <c r="C46" s="4" t="n"/>
      <c r="D46" s="4" t="n"/>
      <c r="E46" s="4" t="n"/>
    </row>
    <row r="47" ht="15.75" customHeight="1">
      <c r="C47" s="4" t="n"/>
      <c r="D47" s="4" t="n"/>
      <c r="E47" s="4" t="n"/>
    </row>
    <row r="48" ht="15.75" customHeight="1">
      <c r="C48" s="4" t="n"/>
      <c r="D48" s="4" t="n"/>
      <c r="E48" s="4" t="n"/>
    </row>
    <row r="49" ht="15.75" customHeight="1">
      <c r="C49" s="4" t="n"/>
      <c r="D49" s="4" t="n"/>
      <c r="E49" s="4" t="n"/>
    </row>
    <row r="50" ht="15.75" customHeight="1">
      <c r="C50" s="4" t="n"/>
      <c r="D50" s="4" t="n"/>
      <c r="E50" s="4" t="n"/>
    </row>
    <row r="51" ht="15.75" customHeight="1">
      <c r="C51" s="4" t="n"/>
      <c r="D51" s="4" t="n"/>
      <c r="E51" s="4" t="n"/>
    </row>
    <row r="52" ht="15.75" customHeight="1">
      <c r="C52" s="4" t="n"/>
      <c r="D52" s="4" t="n"/>
      <c r="E52" s="4" t="n"/>
    </row>
    <row r="53" ht="15.75" customHeight="1">
      <c r="C53" s="4" t="n"/>
      <c r="D53" s="4" t="n"/>
      <c r="E53" s="4" t="n"/>
    </row>
    <row r="54" ht="15.75" customHeight="1">
      <c r="C54" s="4" t="n"/>
      <c r="D54" s="4" t="n"/>
      <c r="E54" s="4" t="n"/>
    </row>
    <row r="55" ht="15.75" customHeight="1">
      <c r="C55" s="4" t="n"/>
      <c r="D55" s="4" t="n"/>
      <c r="E55" s="4" t="n"/>
    </row>
    <row r="56" ht="15.75" customHeight="1">
      <c r="C56" s="4" t="n"/>
      <c r="D56" s="4" t="n"/>
      <c r="E56" s="4" t="n"/>
    </row>
    <row r="57" ht="15.75" customHeight="1">
      <c r="C57" s="4" t="n"/>
      <c r="D57" s="4" t="n"/>
      <c r="E57" s="4" t="n"/>
    </row>
    <row r="58" ht="15.75" customHeight="1">
      <c r="C58" s="4" t="n"/>
      <c r="D58" s="4" t="n"/>
      <c r="E58" s="4" t="n"/>
    </row>
    <row r="59" ht="15.75" customHeight="1">
      <c r="C59" s="4" t="n"/>
      <c r="D59" s="4" t="n"/>
      <c r="E59" s="4" t="n"/>
    </row>
    <row r="60" ht="15.75" customHeight="1">
      <c r="C60" s="4" t="n"/>
      <c r="D60" s="4" t="n"/>
      <c r="E60" s="4" t="n"/>
    </row>
    <row r="61" ht="15.75" customHeight="1">
      <c r="C61" s="4" t="n"/>
      <c r="D61" s="4" t="n"/>
      <c r="E61" s="4" t="n"/>
    </row>
    <row r="62" ht="15.75" customHeight="1">
      <c r="C62" s="4" t="n"/>
      <c r="D62" s="4" t="n"/>
      <c r="E62" s="4" t="n"/>
    </row>
    <row r="63" ht="15.75" customHeight="1">
      <c r="C63" s="4" t="n"/>
      <c r="D63" s="4" t="n"/>
      <c r="E63" s="4" t="n"/>
    </row>
    <row r="64" ht="15.75" customHeight="1">
      <c r="C64" s="4" t="n"/>
      <c r="D64" s="4" t="n"/>
      <c r="E64" s="4" t="n"/>
    </row>
    <row r="65" ht="15.75" customHeight="1">
      <c r="C65" s="4" t="n"/>
      <c r="D65" s="4" t="n"/>
      <c r="E65" s="4" t="n"/>
    </row>
    <row r="66" ht="15.75" customHeight="1">
      <c r="C66" s="4" t="n"/>
      <c r="D66" s="4" t="n"/>
      <c r="E66" s="4" t="n"/>
    </row>
    <row r="67" ht="15.75" customHeight="1">
      <c r="C67" s="4" t="n"/>
      <c r="D67" s="4" t="n"/>
      <c r="E67" s="4" t="n"/>
    </row>
    <row r="68" ht="15.75" customHeight="1">
      <c r="C68" s="4" t="n"/>
      <c r="D68" s="4" t="n"/>
      <c r="E68" s="4" t="n"/>
    </row>
    <row r="69" ht="15.75" customHeight="1">
      <c r="C69" s="4" t="n"/>
      <c r="D69" s="4" t="n"/>
      <c r="E69" s="4" t="n"/>
    </row>
    <row r="70" ht="15.75" customHeight="1">
      <c r="C70" s="4" t="n"/>
      <c r="D70" s="4" t="n"/>
      <c r="E70" s="4" t="n"/>
    </row>
    <row r="71" ht="15.75" customHeight="1">
      <c r="C71" s="4" t="n"/>
      <c r="D71" s="4" t="n"/>
      <c r="E71" s="4" t="n"/>
    </row>
    <row r="72" ht="15.75" customHeight="1">
      <c r="C72" s="4" t="n"/>
      <c r="D72" s="4" t="n"/>
      <c r="E72" s="4" t="n"/>
    </row>
    <row r="73" ht="15.75" customHeight="1">
      <c r="C73" s="4" t="n"/>
      <c r="D73" s="4" t="n"/>
      <c r="E73" s="4" t="n"/>
    </row>
    <row r="74" ht="15.75" customHeight="1">
      <c r="C74" s="4" t="n"/>
      <c r="D74" s="4" t="n"/>
      <c r="E74" s="4" t="n"/>
    </row>
    <row r="75" ht="15.75" customHeight="1">
      <c r="C75" s="4" t="n"/>
      <c r="D75" s="4" t="n"/>
      <c r="E75" s="4" t="n"/>
    </row>
    <row r="76" ht="15.75" customHeight="1">
      <c r="C76" s="4" t="n"/>
      <c r="D76" s="4" t="n"/>
      <c r="E76" s="4" t="n"/>
    </row>
    <row r="77" ht="15.75" customHeight="1">
      <c r="C77" s="4" t="n"/>
      <c r="D77" s="4" t="n"/>
      <c r="E77" s="4" t="n"/>
    </row>
    <row r="78" ht="15.75" customHeight="1">
      <c r="C78" s="4" t="n"/>
      <c r="D78" s="4" t="n"/>
      <c r="E78" s="4" t="n"/>
    </row>
    <row r="79" ht="15.75" customHeight="1">
      <c r="C79" s="4" t="n"/>
      <c r="D79" s="4" t="n"/>
      <c r="E79" s="4" t="n"/>
    </row>
    <row r="80" ht="15.75" customHeight="1">
      <c r="C80" s="4" t="n"/>
      <c r="D80" s="4" t="n"/>
      <c r="E80" s="4" t="n"/>
    </row>
    <row r="81" ht="15.75" customHeight="1">
      <c r="C81" s="4" t="n"/>
      <c r="D81" s="4" t="n"/>
      <c r="E81" s="4" t="n"/>
    </row>
    <row r="82" ht="15.75" customHeight="1">
      <c r="C82" s="4" t="n"/>
      <c r="D82" s="4" t="n"/>
      <c r="E82" s="4" t="n"/>
    </row>
    <row r="83" ht="15.75" customHeight="1">
      <c r="C83" s="4" t="n"/>
      <c r="D83" s="4" t="n"/>
      <c r="E83" s="4" t="n"/>
    </row>
    <row r="84" ht="15.75" customHeight="1">
      <c r="C84" s="4" t="n"/>
      <c r="D84" s="4" t="n"/>
      <c r="E84" s="4" t="n"/>
    </row>
    <row r="85" ht="15.75" customHeight="1">
      <c r="C85" s="4" t="n"/>
      <c r="D85" s="4" t="n"/>
      <c r="E85" s="4" t="n"/>
    </row>
    <row r="86" ht="15.75" customHeight="1">
      <c r="C86" s="4" t="n"/>
      <c r="D86" s="4" t="n"/>
      <c r="E86" s="4" t="n"/>
    </row>
    <row r="87" ht="15.75" customHeight="1">
      <c r="C87" s="4" t="n"/>
      <c r="D87" s="4" t="n"/>
      <c r="E87" s="4" t="n"/>
    </row>
    <row r="88" ht="15.75" customHeight="1">
      <c r="C88" s="4" t="n"/>
      <c r="D88" s="4" t="n"/>
      <c r="E88" s="4" t="n"/>
    </row>
    <row r="89" ht="15.75" customHeight="1">
      <c r="C89" s="4" t="n"/>
      <c r="D89" s="4" t="n"/>
      <c r="E89" s="4" t="n"/>
    </row>
    <row r="90" ht="15.75" customHeight="1">
      <c r="C90" s="4" t="n"/>
      <c r="D90" s="4" t="n"/>
      <c r="E90" s="4" t="n"/>
    </row>
    <row r="91" ht="15.75" customHeight="1">
      <c r="C91" s="4" t="n"/>
      <c r="D91" s="4" t="n"/>
      <c r="E91" s="4" t="n"/>
    </row>
    <row r="92" ht="15.75" customHeight="1">
      <c r="C92" s="4" t="n"/>
      <c r="D92" s="4" t="n"/>
      <c r="E92" s="4" t="n"/>
    </row>
    <row r="93" ht="15.75" customHeight="1">
      <c r="C93" s="4" t="n"/>
      <c r="D93" s="4" t="n"/>
      <c r="E93" s="4" t="n"/>
    </row>
    <row r="94" ht="15.75" customHeight="1">
      <c r="C94" s="4" t="n"/>
      <c r="D94" s="4" t="n"/>
      <c r="E94" s="4" t="n"/>
    </row>
    <row r="95" ht="15.75" customHeight="1">
      <c r="C95" s="4" t="n"/>
      <c r="D95" s="4" t="n"/>
      <c r="E95" s="4" t="n"/>
    </row>
    <row r="96" ht="15.75" customHeight="1">
      <c r="C96" s="4" t="n"/>
      <c r="D96" s="4" t="n"/>
      <c r="E96" s="4" t="n"/>
    </row>
    <row r="97" ht="15.75" customHeight="1">
      <c r="C97" s="4" t="n"/>
      <c r="D97" s="4" t="n"/>
      <c r="E97" s="4" t="n"/>
    </row>
    <row r="98" ht="15.75" customHeight="1">
      <c r="C98" s="4" t="n"/>
      <c r="D98" s="4" t="n"/>
      <c r="E98" s="4" t="n"/>
    </row>
    <row r="99" ht="15.75" customHeight="1">
      <c r="C99" s="4" t="n"/>
      <c r="D99" s="4" t="n"/>
      <c r="E99" s="4" t="n"/>
    </row>
    <row r="100" ht="15.75" customHeight="1">
      <c r="C100" s="4" t="n"/>
      <c r="D100" s="4" t="n"/>
      <c r="E100" s="4" t="n"/>
    </row>
    <row r="101" ht="15.75" customHeight="1">
      <c r="C101" s="4" t="n"/>
      <c r="D101" s="4" t="n"/>
      <c r="E101" s="4" t="n"/>
    </row>
    <row r="102" ht="15.75" customHeight="1">
      <c r="C102" s="4" t="n"/>
      <c r="D102" s="4" t="n"/>
      <c r="E102" s="4" t="n"/>
    </row>
    <row r="103" ht="15.75" customHeight="1">
      <c r="C103" s="4" t="n"/>
      <c r="D103" s="4" t="n"/>
      <c r="E103" s="4" t="n"/>
    </row>
    <row r="104" ht="15.75" customHeight="1">
      <c r="C104" s="4" t="n"/>
      <c r="D104" s="4" t="n"/>
      <c r="E104" s="4" t="n"/>
    </row>
    <row r="105" ht="15.75" customHeight="1">
      <c r="C105" s="4" t="n"/>
      <c r="D105" s="4" t="n"/>
      <c r="E105" s="4" t="n"/>
    </row>
    <row r="106" ht="15.75" customHeight="1">
      <c r="C106" s="4" t="n"/>
      <c r="D106" s="4" t="n"/>
      <c r="E106" s="4" t="n"/>
    </row>
    <row r="107" ht="15.75" customHeight="1">
      <c r="C107" s="4" t="n"/>
      <c r="D107" s="4" t="n"/>
      <c r="E107" s="4" t="n"/>
    </row>
    <row r="108" ht="15.75" customHeight="1">
      <c r="C108" s="4" t="n"/>
      <c r="D108" s="4" t="n"/>
      <c r="E108" s="4" t="n"/>
    </row>
    <row r="109" ht="15.75" customHeight="1">
      <c r="C109" s="4" t="n"/>
      <c r="D109" s="4" t="n"/>
      <c r="E109" s="4" t="n"/>
    </row>
    <row r="110" ht="15.75" customHeight="1">
      <c r="C110" s="4" t="n"/>
      <c r="D110" s="4" t="n"/>
      <c r="E110" s="4" t="n"/>
    </row>
    <row r="111" ht="15.75" customHeight="1">
      <c r="C111" s="4" t="n"/>
      <c r="D111" s="4" t="n"/>
      <c r="E111" s="4" t="n"/>
    </row>
    <row r="112" ht="15.75" customHeight="1">
      <c r="C112" s="4" t="n"/>
      <c r="D112" s="4" t="n"/>
      <c r="E112" s="4" t="n"/>
    </row>
    <row r="113" ht="15.75" customHeight="1">
      <c r="C113" s="4" t="n"/>
      <c r="D113" s="4" t="n"/>
      <c r="E113" s="4" t="n"/>
    </row>
    <row r="114" ht="15.75" customHeight="1">
      <c r="C114" s="4" t="n"/>
      <c r="D114" s="4" t="n"/>
      <c r="E114" s="4" t="n"/>
    </row>
    <row r="115" ht="15.75" customHeight="1">
      <c r="C115" s="4" t="n"/>
      <c r="D115" s="4" t="n"/>
      <c r="E115" s="4" t="n"/>
    </row>
    <row r="116" ht="15.75" customHeight="1">
      <c r="C116" s="4" t="n"/>
      <c r="D116" s="4" t="n"/>
      <c r="E116" s="4" t="n"/>
    </row>
    <row r="117" ht="15.75" customHeight="1">
      <c r="C117" s="4" t="n"/>
      <c r="D117" s="4" t="n"/>
      <c r="E117" s="4" t="n"/>
    </row>
    <row r="118" ht="15.75" customHeight="1">
      <c r="C118" s="4" t="n"/>
      <c r="D118" s="4" t="n"/>
      <c r="E118" s="4" t="n"/>
    </row>
    <row r="119" ht="15.75" customHeight="1">
      <c r="C119" s="4" t="n"/>
      <c r="D119" s="4" t="n"/>
      <c r="E119" s="4" t="n"/>
    </row>
    <row r="120" ht="15.75" customHeight="1">
      <c r="C120" s="4" t="n"/>
      <c r="D120" s="4" t="n"/>
      <c r="E120" s="4" t="n"/>
    </row>
    <row r="121" ht="15.75" customHeight="1">
      <c r="C121" s="4" t="n"/>
      <c r="D121" s="4" t="n"/>
      <c r="E121" s="4" t="n"/>
    </row>
    <row r="122" ht="15.75" customHeight="1">
      <c r="C122" s="4" t="n"/>
      <c r="D122" s="4" t="n"/>
      <c r="E122" s="4" t="n"/>
    </row>
    <row r="123" ht="15.75" customHeight="1">
      <c r="C123" s="4" t="n"/>
      <c r="D123" s="4" t="n"/>
      <c r="E123" s="4" t="n"/>
    </row>
    <row r="124" ht="15.75" customHeight="1">
      <c r="C124" s="4" t="n"/>
      <c r="D124" s="4" t="n"/>
      <c r="E124" s="4" t="n"/>
    </row>
    <row r="125" ht="15.75" customHeight="1">
      <c r="C125" s="4" t="n"/>
      <c r="D125" s="4" t="n"/>
      <c r="E125" s="4" t="n"/>
    </row>
    <row r="126" ht="15.75" customHeight="1">
      <c r="C126" s="4" t="n"/>
      <c r="D126" s="4" t="n"/>
      <c r="E126" s="4" t="n"/>
    </row>
    <row r="127" ht="15.75" customHeight="1">
      <c r="C127" s="4" t="n"/>
      <c r="D127" s="4" t="n"/>
      <c r="E127" s="4" t="n"/>
    </row>
    <row r="128" ht="15.75" customHeight="1">
      <c r="C128" s="4" t="n"/>
      <c r="D128" s="4" t="n"/>
      <c r="E128" s="4" t="n"/>
    </row>
    <row r="129" ht="15.75" customHeight="1">
      <c r="C129" s="4" t="n"/>
      <c r="D129" s="4" t="n"/>
      <c r="E129" s="4" t="n"/>
    </row>
    <row r="130" ht="15.75" customHeight="1">
      <c r="C130" s="4" t="n"/>
      <c r="D130" s="4" t="n"/>
      <c r="E130" s="4" t="n"/>
    </row>
    <row r="131" ht="15.75" customHeight="1">
      <c r="C131" s="4" t="n"/>
      <c r="D131" s="4" t="n"/>
      <c r="E131" s="4" t="n"/>
    </row>
    <row r="132" ht="15.75" customHeight="1">
      <c r="C132" s="4" t="n"/>
      <c r="D132" s="4" t="n"/>
      <c r="E132" s="4" t="n"/>
    </row>
    <row r="133" ht="15.75" customHeight="1">
      <c r="C133" s="4" t="n"/>
      <c r="D133" s="4" t="n"/>
      <c r="E133" s="4" t="n"/>
    </row>
    <row r="134" ht="15.75" customHeight="1">
      <c r="C134" s="4" t="n"/>
      <c r="D134" s="4" t="n"/>
      <c r="E134" s="4" t="n"/>
    </row>
    <row r="135" ht="15.75" customHeight="1">
      <c r="C135" s="4" t="n"/>
      <c r="D135" s="4" t="n"/>
      <c r="E135" s="4" t="n"/>
    </row>
    <row r="136" ht="15.75" customHeight="1">
      <c r="C136" s="4" t="n"/>
      <c r="D136" s="4" t="n"/>
      <c r="E136" s="4" t="n"/>
    </row>
    <row r="137" ht="15.75" customHeight="1">
      <c r="C137" s="4" t="n"/>
      <c r="D137" s="4" t="n"/>
      <c r="E137" s="4" t="n"/>
    </row>
    <row r="138" ht="15.75" customHeight="1">
      <c r="C138" s="4" t="n"/>
      <c r="D138" s="4" t="n"/>
      <c r="E138" s="4" t="n"/>
    </row>
    <row r="139" ht="15.75" customHeight="1">
      <c r="C139" s="4" t="n"/>
      <c r="D139" s="4" t="n"/>
      <c r="E139" s="4" t="n"/>
    </row>
    <row r="140" ht="15.75" customHeight="1">
      <c r="C140" s="4" t="n"/>
      <c r="D140" s="4" t="n"/>
      <c r="E140" s="4" t="n"/>
    </row>
    <row r="141" ht="15.75" customHeight="1">
      <c r="C141" s="4" t="n"/>
      <c r="D141" s="4" t="n"/>
      <c r="E141" s="4" t="n"/>
    </row>
    <row r="142" ht="15.75" customHeight="1">
      <c r="C142" s="4" t="n"/>
      <c r="D142" s="4" t="n"/>
      <c r="E142" s="4" t="n"/>
    </row>
    <row r="143" ht="15.75" customHeight="1">
      <c r="C143" s="4" t="n"/>
      <c r="D143" s="4" t="n"/>
      <c r="E143" s="4" t="n"/>
    </row>
    <row r="144" ht="15.75" customHeight="1">
      <c r="C144" s="4" t="n"/>
      <c r="D144" s="4" t="n"/>
      <c r="E144" s="4" t="n"/>
    </row>
    <row r="145" ht="15.75" customHeight="1">
      <c r="C145" s="4" t="n"/>
      <c r="D145" s="4" t="n"/>
      <c r="E145" s="4" t="n"/>
    </row>
    <row r="146" ht="15.75" customHeight="1">
      <c r="C146" s="4" t="n"/>
      <c r="D146" s="4" t="n"/>
      <c r="E146" s="4" t="n"/>
    </row>
    <row r="147" ht="15.75" customHeight="1">
      <c r="C147" s="4" t="n"/>
      <c r="D147" s="4" t="n"/>
      <c r="E147" s="4" t="n"/>
    </row>
    <row r="148" ht="15.75" customHeight="1">
      <c r="C148" s="4" t="n"/>
      <c r="D148" s="4" t="n"/>
      <c r="E148" s="4" t="n"/>
    </row>
    <row r="149" ht="15.75" customHeight="1">
      <c r="C149" s="4" t="n"/>
      <c r="D149" s="4" t="n"/>
      <c r="E149" s="4" t="n"/>
    </row>
    <row r="150" ht="15.75" customHeight="1">
      <c r="C150" s="4" t="n"/>
      <c r="D150" s="4" t="n"/>
      <c r="E150" s="4" t="n"/>
    </row>
    <row r="151" ht="15.75" customHeight="1">
      <c r="C151" s="4" t="n"/>
      <c r="D151" s="4" t="n"/>
      <c r="E151" s="4" t="n"/>
    </row>
    <row r="152" ht="15.75" customHeight="1">
      <c r="C152" s="4" t="n"/>
      <c r="D152" s="4" t="n"/>
      <c r="E152" s="4" t="n"/>
    </row>
    <row r="153" ht="15.75" customHeight="1">
      <c r="C153" s="4" t="n"/>
      <c r="D153" s="4" t="n"/>
      <c r="E153" s="4" t="n"/>
    </row>
    <row r="154" ht="15.75" customHeight="1">
      <c r="C154" s="4" t="n"/>
      <c r="D154" s="4" t="n"/>
      <c r="E154" s="4" t="n"/>
    </row>
    <row r="155" ht="15.75" customHeight="1">
      <c r="C155" s="4" t="n"/>
      <c r="D155" s="4" t="n"/>
      <c r="E155" s="4" t="n"/>
    </row>
    <row r="156" ht="15.75" customHeight="1">
      <c r="C156" s="4" t="n"/>
      <c r="D156" s="4" t="n"/>
      <c r="E156" s="4" t="n"/>
    </row>
    <row r="157" ht="15.75" customHeight="1">
      <c r="C157" s="4" t="n"/>
      <c r="D157" s="4" t="n"/>
      <c r="E157" s="4" t="n"/>
    </row>
    <row r="158" ht="15.75" customHeight="1">
      <c r="C158" s="4" t="n"/>
      <c r="D158" s="4" t="n"/>
      <c r="E158" s="4" t="n"/>
    </row>
    <row r="159" ht="15.75" customHeight="1">
      <c r="C159" s="4" t="n"/>
      <c r="D159" s="4" t="n"/>
      <c r="E159" s="4" t="n"/>
    </row>
    <row r="160" ht="15.75" customHeight="1">
      <c r="C160" s="4" t="n"/>
      <c r="D160" s="4" t="n"/>
      <c r="E160" s="4" t="n"/>
    </row>
    <row r="161" ht="15.75" customHeight="1">
      <c r="C161" s="4" t="n"/>
      <c r="D161" s="4" t="n"/>
      <c r="E161" s="4" t="n"/>
    </row>
    <row r="162" ht="15.75" customHeight="1">
      <c r="C162" s="4" t="n"/>
      <c r="D162" s="4" t="n"/>
      <c r="E162" s="4" t="n"/>
    </row>
    <row r="163" ht="15.75" customHeight="1">
      <c r="C163" s="4" t="n"/>
      <c r="D163" s="4" t="n"/>
      <c r="E163" s="4" t="n"/>
    </row>
    <row r="164" ht="15.75" customHeight="1">
      <c r="C164" s="4" t="n"/>
      <c r="D164" s="4" t="n"/>
      <c r="E164" s="4" t="n"/>
    </row>
    <row r="165" ht="15.75" customHeight="1">
      <c r="C165" s="4" t="n"/>
      <c r="D165" s="4" t="n"/>
      <c r="E165" s="4" t="n"/>
    </row>
    <row r="166" ht="15.75" customHeight="1">
      <c r="C166" s="4" t="n"/>
      <c r="D166" s="4" t="n"/>
      <c r="E166" s="4" t="n"/>
    </row>
    <row r="167" ht="15.75" customHeight="1">
      <c r="C167" s="4" t="n"/>
      <c r="D167" s="4" t="n"/>
      <c r="E167" s="4" t="n"/>
    </row>
    <row r="168" ht="15.75" customHeight="1">
      <c r="C168" s="4" t="n"/>
      <c r="D168" s="4" t="n"/>
      <c r="E168" s="4" t="n"/>
    </row>
    <row r="169" ht="15.75" customHeight="1">
      <c r="C169" s="4" t="n"/>
      <c r="D169" s="4" t="n"/>
      <c r="E169" s="4" t="n"/>
    </row>
    <row r="170" ht="15.75" customHeight="1">
      <c r="C170" s="4" t="n"/>
      <c r="D170" s="4" t="n"/>
      <c r="E170" s="4" t="n"/>
    </row>
    <row r="171" ht="15.75" customHeight="1">
      <c r="C171" s="4" t="n"/>
      <c r="D171" s="4" t="n"/>
      <c r="E171" s="4" t="n"/>
    </row>
    <row r="172" ht="15.75" customHeight="1">
      <c r="C172" s="4" t="n"/>
      <c r="D172" s="4" t="n"/>
      <c r="E172" s="4" t="n"/>
    </row>
    <row r="173" ht="15.75" customHeight="1">
      <c r="C173" s="4" t="n"/>
      <c r="D173" s="4" t="n"/>
      <c r="E173" s="4" t="n"/>
    </row>
    <row r="174" ht="15.75" customHeight="1">
      <c r="C174" s="4" t="n"/>
      <c r="D174" s="4" t="n"/>
      <c r="E174" s="4" t="n"/>
    </row>
    <row r="175" ht="15.75" customHeight="1">
      <c r="C175" s="4" t="n"/>
      <c r="D175" s="4" t="n"/>
      <c r="E175" s="4" t="n"/>
    </row>
    <row r="176" ht="15.75" customHeight="1">
      <c r="C176" s="4" t="n"/>
      <c r="D176" s="4" t="n"/>
      <c r="E176" s="4" t="n"/>
    </row>
    <row r="177" ht="15.75" customHeight="1">
      <c r="C177" s="4" t="n"/>
      <c r="D177" s="4" t="n"/>
      <c r="E177" s="4" t="n"/>
    </row>
    <row r="178" ht="15.75" customHeight="1">
      <c r="C178" s="4" t="n"/>
      <c r="D178" s="4" t="n"/>
      <c r="E178" s="4" t="n"/>
    </row>
    <row r="179" ht="15.75" customHeight="1">
      <c r="C179" s="4" t="n"/>
      <c r="D179" s="4" t="n"/>
      <c r="E179" s="4" t="n"/>
    </row>
    <row r="180" ht="15.75" customHeight="1">
      <c r="C180" s="4" t="n"/>
      <c r="D180" s="4" t="n"/>
      <c r="E180" s="4" t="n"/>
    </row>
    <row r="181" ht="15.75" customHeight="1">
      <c r="C181" s="4" t="n"/>
      <c r="D181" s="4" t="n"/>
      <c r="E181" s="4" t="n"/>
    </row>
    <row r="182" ht="15.75" customHeight="1">
      <c r="C182" s="4" t="n"/>
      <c r="D182" s="4" t="n"/>
      <c r="E182" s="4" t="n"/>
    </row>
    <row r="183" ht="15.75" customHeight="1">
      <c r="C183" s="4" t="n"/>
      <c r="D183" s="4" t="n"/>
      <c r="E183" s="4" t="n"/>
    </row>
    <row r="184" ht="15.75" customHeight="1">
      <c r="C184" s="4" t="n"/>
      <c r="D184" s="4" t="n"/>
      <c r="E184" s="4" t="n"/>
    </row>
    <row r="185" ht="15.75" customHeight="1">
      <c r="C185" s="4" t="n"/>
      <c r="D185" s="4" t="n"/>
      <c r="E185" s="4" t="n"/>
    </row>
    <row r="186" ht="15.75" customHeight="1">
      <c r="C186" s="4" t="n"/>
      <c r="D186" s="4" t="n"/>
      <c r="E186" s="4" t="n"/>
    </row>
    <row r="187" ht="15.75" customHeight="1">
      <c r="C187" s="4" t="n"/>
      <c r="D187" s="4" t="n"/>
      <c r="E187" s="4" t="n"/>
    </row>
    <row r="188" ht="15.75" customHeight="1">
      <c r="C188" s="4" t="n"/>
      <c r="D188" s="4" t="n"/>
      <c r="E188" s="4" t="n"/>
    </row>
    <row r="189" ht="15.75" customHeight="1">
      <c r="C189" s="4" t="n"/>
      <c r="D189" s="4" t="n"/>
      <c r="E189" s="4" t="n"/>
    </row>
    <row r="190" ht="15.75" customHeight="1">
      <c r="C190" s="4" t="n"/>
      <c r="D190" s="4" t="n"/>
      <c r="E190" s="4" t="n"/>
    </row>
    <row r="191" ht="15.75" customHeight="1">
      <c r="C191" s="4" t="n"/>
      <c r="D191" s="4" t="n"/>
      <c r="E191" s="4" t="n"/>
    </row>
    <row r="192" ht="15.75" customHeight="1">
      <c r="C192" s="4" t="n"/>
      <c r="D192" s="4" t="n"/>
      <c r="E192" s="4" t="n"/>
    </row>
    <row r="193" ht="15.75" customHeight="1">
      <c r="C193" s="4" t="n"/>
      <c r="D193" s="4" t="n"/>
      <c r="E193" s="4" t="n"/>
    </row>
    <row r="194" ht="15.75" customHeight="1">
      <c r="C194" s="4" t="n"/>
      <c r="D194" s="4" t="n"/>
      <c r="E194" s="4" t="n"/>
    </row>
    <row r="195" ht="15.75" customHeight="1">
      <c r="C195" s="4" t="n"/>
      <c r="D195" s="4" t="n"/>
      <c r="E195" s="4" t="n"/>
    </row>
    <row r="196" ht="15.75" customHeight="1">
      <c r="C196" s="4" t="n"/>
      <c r="D196" s="4" t="n"/>
      <c r="E196" s="4" t="n"/>
    </row>
    <row r="197" ht="15.75" customHeight="1">
      <c r="C197" s="4" t="n"/>
      <c r="D197" s="4" t="n"/>
      <c r="E197" s="4" t="n"/>
    </row>
    <row r="198" ht="15.75" customHeight="1">
      <c r="C198" s="4" t="n"/>
      <c r="D198" s="4" t="n"/>
      <c r="E198" s="4" t="n"/>
    </row>
    <row r="199" ht="15.75" customHeight="1">
      <c r="C199" s="4" t="n"/>
      <c r="D199" s="4" t="n"/>
      <c r="E199" s="4" t="n"/>
    </row>
    <row r="200" ht="15.75" customHeight="1">
      <c r="C200" s="4" t="n"/>
      <c r="D200" s="4" t="n"/>
      <c r="E200" s="4" t="n"/>
    </row>
    <row r="201" ht="15.75" customHeight="1">
      <c r="C201" s="4" t="n"/>
      <c r="D201" s="4" t="n"/>
      <c r="E201" s="4" t="n"/>
    </row>
    <row r="202" ht="15.75" customHeight="1">
      <c r="C202" s="4" t="n"/>
      <c r="D202" s="4" t="n"/>
      <c r="E202" s="4" t="n"/>
    </row>
    <row r="203" ht="15.75" customHeight="1">
      <c r="C203" s="4" t="n"/>
      <c r="D203" s="4" t="n"/>
      <c r="E203" s="4" t="n"/>
    </row>
    <row r="204" ht="15.75" customHeight="1">
      <c r="C204" s="4" t="n"/>
      <c r="D204" s="4" t="n"/>
      <c r="E204" s="4" t="n"/>
    </row>
    <row r="205" ht="15.75" customHeight="1">
      <c r="C205" s="4" t="n"/>
      <c r="D205" s="4" t="n"/>
      <c r="E205" s="4" t="n"/>
    </row>
    <row r="206" ht="15.75" customHeight="1">
      <c r="C206" s="4" t="n"/>
      <c r="D206" s="4" t="n"/>
      <c r="E206" s="4" t="n"/>
    </row>
    <row r="207" ht="15.75" customHeight="1">
      <c r="C207" s="4" t="n"/>
      <c r="D207" s="4" t="n"/>
      <c r="E207" s="4" t="n"/>
    </row>
    <row r="208" ht="15.75" customHeight="1">
      <c r="C208" s="4" t="n"/>
      <c r="D208" s="4" t="n"/>
      <c r="E208" s="4" t="n"/>
    </row>
    <row r="209" ht="15.75" customHeight="1">
      <c r="C209" s="4" t="n"/>
      <c r="D209" s="4" t="n"/>
      <c r="E209" s="4" t="n"/>
    </row>
    <row r="210" ht="15.75" customHeight="1">
      <c r="C210" s="4" t="n"/>
      <c r="D210" s="4" t="n"/>
      <c r="E210" s="4" t="n"/>
    </row>
    <row r="211" ht="15.75" customHeight="1">
      <c r="C211" s="4" t="n"/>
      <c r="D211" s="4" t="n"/>
      <c r="E211" s="4" t="n"/>
    </row>
    <row r="212" ht="15.75" customHeight="1">
      <c r="C212" s="4" t="n"/>
      <c r="D212" s="4" t="n"/>
      <c r="E212" s="4" t="n"/>
    </row>
    <row r="213" ht="15.75" customHeight="1">
      <c r="C213" s="4" t="n"/>
      <c r="D213" s="4" t="n"/>
      <c r="E213" s="4" t="n"/>
    </row>
    <row r="214" ht="15.75" customHeight="1">
      <c r="C214" s="4" t="n"/>
      <c r="D214" s="4" t="n"/>
      <c r="E214" s="4" t="n"/>
    </row>
    <row r="215" ht="15.75" customHeight="1">
      <c r="C215" s="4" t="n"/>
      <c r="D215" s="4" t="n"/>
      <c r="E215" s="4" t="n"/>
    </row>
    <row r="216" ht="15.75" customHeight="1">
      <c r="C216" s="4" t="n"/>
      <c r="D216" s="4" t="n"/>
      <c r="E216" s="4" t="n"/>
    </row>
    <row r="217" ht="15.75" customHeight="1">
      <c r="C217" s="4" t="n"/>
      <c r="D217" s="4" t="n"/>
      <c r="E217" s="4" t="n"/>
    </row>
    <row r="218" ht="15.75" customHeight="1">
      <c r="C218" s="4" t="n"/>
      <c r="D218" s="4" t="n"/>
      <c r="E218" s="4" t="n"/>
    </row>
    <row r="219" ht="15.75" customHeight="1">
      <c r="C219" s="4" t="n"/>
      <c r="D219" s="4" t="n"/>
      <c r="E219" s="4" t="n"/>
    </row>
    <row r="220" ht="15.75" customHeight="1">
      <c r="C220" s="4" t="n"/>
      <c r="D220" s="4" t="n"/>
      <c r="E220" s="4" t="n"/>
    </row>
    <row r="221" ht="15.75" customHeight="1">
      <c r="C221" s="4" t="n"/>
      <c r="D221" s="4" t="n"/>
      <c r="E221" s="4" t="n"/>
    </row>
    <row r="222" ht="15.75" customHeight="1">
      <c r="C222" s="4" t="n"/>
      <c r="D222" s="4" t="n"/>
      <c r="E222" s="4" t="n"/>
    </row>
    <row r="223" ht="15.75" customHeight="1">
      <c r="C223" s="4" t="n"/>
      <c r="D223" s="4" t="n"/>
      <c r="E223" s="4" t="n"/>
    </row>
    <row r="224" ht="15.75" customHeight="1">
      <c r="C224" s="4" t="n"/>
      <c r="D224" s="4" t="n"/>
      <c r="E224" s="4" t="n"/>
    </row>
    <row r="225" ht="15.75" customHeight="1">
      <c r="C225" s="4" t="n"/>
      <c r="D225" s="4" t="n"/>
      <c r="E225" s="4" t="n"/>
    </row>
    <row r="226" ht="15.75" customHeight="1">
      <c r="C226" s="4" t="n"/>
      <c r="D226" s="4" t="n"/>
      <c r="E226" s="4" t="n"/>
    </row>
    <row r="227" ht="15.75" customHeight="1">
      <c r="C227" s="4" t="n"/>
      <c r="D227" s="4" t="n"/>
      <c r="E227" s="4" t="n"/>
    </row>
    <row r="228" ht="15.75" customHeight="1">
      <c r="C228" s="4" t="n"/>
      <c r="D228" s="4" t="n"/>
      <c r="E228" s="4" t="n"/>
    </row>
    <row r="229" ht="15.75" customHeight="1">
      <c r="C229" s="4" t="n"/>
      <c r="D229" s="4" t="n"/>
      <c r="E229" s="4" t="n"/>
    </row>
    <row r="230" ht="15.75" customHeight="1">
      <c r="C230" s="4" t="n"/>
      <c r="D230" s="4" t="n"/>
      <c r="E230" s="4" t="n"/>
    </row>
    <row r="231" ht="15.75" customHeight="1">
      <c r="C231" s="4" t="n"/>
      <c r="D231" s="4" t="n"/>
      <c r="E231" s="4" t="n"/>
    </row>
    <row r="232" ht="15.75" customHeight="1">
      <c r="C232" s="4" t="n"/>
      <c r="D232" s="4" t="n"/>
      <c r="E232" s="4" t="n"/>
    </row>
    <row r="233" ht="15.75" customHeight="1">
      <c r="C233" s="4" t="n"/>
      <c r="D233" s="4" t="n"/>
      <c r="E233" s="4" t="n"/>
    </row>
    <row r="234" ht="15.75" customHeight="1">
      <c r="C234" s="4" t="n"/>
      <c r="D234" s="4" t="n"/>
      <c r="E234" s="4" t="n"/>
    </row>
    <row r="235" ht="15.75" customHeight="1">
      <c r="C235" s="4" t="n"/>
      <c r="D235" s="4" t="n"/>
      <c r="E235" s="4" t="n"/>
    </row>
    <row r="236" ht="15.75" customHeight="1">
      <c r="C236" s="4" t="n"/>
      <c r="D236" s="4" t="n"/>
      <c r="E236" s="4" t="n"/>
    </row>
    <row r="237" ht="15.75" customHeight="1">
      <c r="C237" s="4" t="n"/>
      <c r="D237" s="4" t="n"/>
      <c r="E237" s="4" t="n"/>
    </row>
    <row r="238" ht="15.75" customHeight="1">
      <c r="C238" s="4" t="n"/>
      <c r="D238" s="4" t="n"/>
      <c r="E238" s="4" t="n"/>
    </row>
    <row r="239" ht="15.75" customHeight="1">
      <c r="C239" s="4" t="n"/>
      <c r="D239" s="4" t="n"/>
      <c r="E239" s="4" t="n"/>
    </row>
    <row r="240" ht="15.75" customHeight="1">
      <c r="C240" s="4" t="n"/>
      <c r="D240" s="4" t="n"/>
      <c r="E240" s="4" t="n"/>
    </row>
    <row r="241" ht="15.75" customHeight="1">
      <c r="C241" s="4" t="n"/>
      <c r="D241" s="4" t="n"/>
      <c r="E241" s="4" t="n"/>
    </row>
    <row r="242" ht="15.75" customHeight="1">
      <c r="C242" s="4" t="n"/>
      <c r="D242" s="4" t="n"/>
      <c r="E242" s="4" t="n"/>
    </row>
    <row r="243" ht="15.75" customHeight="1">
      <c r="C243" s="4" t="n"/>
      <c r="D243" s="4" t="n"/>
      <c r="E243" s="4" t="n"/>
    </row>
    <row r="244" ht="15.75" customHeight="1">
      <c r="C244" s="4" t="n"/>
      <c r="D244" s="4" t="n"/>
      <c r="E244" s="4" t="n"/>
    </row>
    <row r="245" ht="15.75" customHeight="1">
      <c r="C245" s="4" t="n"/>
      <c r="D245" s="4" t="n"/>
      <c r="E245" s="4" t="n"/>
    </row>
    <row r="246" ht="15.75" customHeight="1">
      <c r="C246" s="4" t="n"/>
      <c r="D246" s="4" t="n"/>
      <c r="E246" s="4" t="n"/>
    </row>
    <row r="247" ht="15.75" customHeight="1">
      <c r="C247" s="4" t="n"/>
      <c r="D247" s="4" t="n"/>
      <c r="E247" s="4" t="n"/>
    </row>
    <row r="248" ht="15.75" customHeight="1">
      <c r="C248" s="4" t="n"/>
      <c r="D248" s="4" t="n"/>
      <c r="E248" s="4" t="n"/>
    </row>
    <row r="249" ht="15.75" customHeight="1">
      <c r="C249" s="4" t="n"/>
      <c r="D249" s="4" t="n"/>
      <c r="E249" s="4" t="n"/>
    </row>
    <row r="250" ht="15.75" customHeight="1">
      <c r="C250" s="4" t="n"/>
      <c r="D250" s="4" t="n"/>
      <c r="E250" s="4" t="n"/>
    </row>
    <row r="251" ht="15.75" customHeight="1">
      <c r="C251" s="4" t="n"/>
      <c r="D251" s="4" t="n"/>
      <c r="E251" s="4" t="n"/>
    </row>
    <row r="252" ht="15.75" customHeight="1">
      <c r="C252" s="4" t="n"/>
      <c r="D252" s="4" t="n"/>
      <c r="E252" s="4" t="n"/>
    </row>
    <row r="253" ht="15.75" customHeight="1">
      <c r="C253" s="4" t="n"/>
      <c r="D253" s="4" t="n"/>
      <c r="E253" s="4" t="n"/>
    </row>
    <row r="254" ht="15.75" customHeight="1">
      <c r="C254" s="4" t="n"/>
      <c r="D254" s="4" t="n"/>
      <c r="E254" s="4" t="n"/>
    </row>
    <row r="255" ht="15.75" customHeight="1">
      <c r="C255" s="4" t="n"/>
      <c r="D255" s="4" t="n"/>
      <c r="E255" s="4" t="n"/>
    </row>
    <row r="256" ht="15.75" customHeight="1">
      <c r="C256" s="4" t="n"/>
      <c r="D256" s="4" t="n"/>
      <c r="E256" s="4" t="n"/>
    </row>
    <row r="257" ht="15.75" customHeight="1">
      <c r="C257" s="4" t="n"/>
      <c r="D257" s="4" t="n"/>
      <c r="E257" s="4" t="n"/>
    </row>
    <row r="258" ht="15.75" customHeight="1">
      <c r="C258" s="4" t="n"/>
      <c r="D258" s="4" t="n"/>
      <c r="E258" s="4" t="n"/>
    </row>
    <row r="259" ht="15.75" customHeight="1">
      <c r="C259" s="4" t="n"/>
      <c r="D259" s="4" t="n"/>
      <c r="E259" s="4" t="n"/>
    </row>
    <row r="260" ht="15.75" customHeight="1">
      <c r="C260" s="4" t="n"/>
      <c r="D260" s="4" t="n"/>
      <c r="E260" s="4" t="n"/>
    </row>
    <row r="261" ht="15.75" customHeight="1">
      <c r="C261" s="4" t="n"/>
      <c r="D261" s="4" t="n"/>
      <c r="E261" s="4" t="n"/>
    </row>
    <row r="262" ht="15.75" customHeight="1">
      <c r="C262" s="4" t="n"/>
      <c r="D262" s="4" t="n"/>
      <c r="E262" s="4" t="n"/>
    </row>
    <row r="263" ht="15.75" customHeight="1">
      <c r="C263" s="4" t="n"/>
      <c r="D263" s="4" t="n"/>
      <c r="E263" s="4" t="n"/>
    </row>
    <row r="264" ht="15.75" customHeight="1">
      <c r="C264" s="4" t="n"/>
      <c r="D264" s="4" t="n"/>
      <c r="E264" s="4" t="n"/>
    </row>
    <row r="265" ht="15.75" customHeight="1">
      <c r="C265" s="4" t="n"/>
      <c r="D265" s="4" t="n"/>
      <c r="E265" s="4" t="n"/>
    </row>
    <row r="266" ht="15.75" customHeight="1">
      <c r="C266" s="4" t="n"/>
      <c r="D266" s="4" t="n"/>
      <c r="E266" s="4" t="n"/>
    </row>
    <row r="267" ht="15.75" customHeight="1">
      <c r="C267" s="4" t="n"/>
      <c r="D267" s="4" t="n"/>
      <c r="E267" s="4" t="n"/>
    </row>
    <row r="268" ht="15.75" customHeight="1">
      <c r="C268" s="4" t="n"/>
      <c r="D268" s="4" t="n"/>
      <c r="E268" s="4" t="n"/>
    </row>
    <row r="269" ht="15.75" customHeight="1">
      <c r="C269" s="4" t="n"/>
      <c r="D269" s="4" t="n"/>
      <c r="E269" s="4" t="n"/>
    </row>
    <row r="270" ht="15.75" customHeight="1">
      <c r="C270" s="4" t="n"/>
      <c r="D270" s="4" t="n"/>
      <c r="E270" s="4" t="n"/>
    </row>
    <row r="271" ht="15.75" customHeight="1">
      <c r="C271" s="4" t="n"/>
      <c r="D271" s="4" t="n"/>
      <c r="E271" s="4" t="n"/>
    </row>
    <row r="272" ht="15.75" customHeight="1">
      <c r="C272" s="4" t="n"/>
      <c r="D272" s="4" t="n"/>
      <c r="E272" s="4" t="n"/>
    </row>
    <row r="273" ht="15.75" customHeight="1">
      <c r="C273" s="4" t="n"/>
      <c r="D273" s="4" t="n"/>
      <c r="E273" s="4" t="n"/>
    </row>
    <row r="274" ht="15.75" customHeight="1">
      <c r="C274" s="4" t="n"/>
      <c r="D274" s="4" t="n"/>
      <c r="E274" s="4" t="n"/>
    </row>
    <row r="275" ht="15.75" customHeight="1">
      <c r="C275" s="4" t="n"/>
      <c r="D275" s="4" t="n"/>
      <c r="E275" s="4" t="n"/>
    </row>
    <row r="276" ht="15.75" customHeight="1">
      <c r="C276" s="4" t="n"/>
      <c r="D276" s="4" t="n"/>
      <c r="E276" s="4" t="n"/>
    </row>
    <row r="277" ht="15.75" customHeight="1">
      <c r="C277" s="4" t="n"/>
      <c r="D277" s="4" t="n"/>
      <c r="E277" s="4" t="n"/>
    </row>
    <row r="278" ht="15.75" customHeight="1">
      <c r="C278" s="4" t="n"/>
      <c r="D278" s="4" t="n"/>
      <c r="E278" s="4" t="n"/>
    </row>
    <row r="279" ht="15.75" customHeight="1">
      <c r="C279" s="4" t="n"/>
      <c r="D279" s="4" t="n"/>
      <c r="E279" s="4" t="n"/>
    </row>
    <row r="280" ht="15.75" customHeight="1">
      <c r="C280" s="4" t="n"/>
      <c r="D280" s="4" t="n"/>
      <c r="E280" s="4" t="n"/>
    </row>
    <row r="281" ht="15.75" customHeight="1">
      <c r="C281" s="4" t="n"/>
      <c r="D281" s="4" t="n"/>
      <c r="E281" s="4" t="n"/>
    </row>
    <row r="282" ht="15.75" customHeight="1">
      <c r="C282" s="4" t="n"/>
      <c r="D282" s="4" t="n"/>
      <c r="E282" s="4" t="n"/>
    </row>
    <row r="283" ht="15.75" customHeight="1">
      <c r="C283" s="4" t="n"/>
      <c r="D283" s="4" t="n"/>
      <c r="E283" s="4" t="n"/>
    </row>
    <row r="284" ht="15.75" customHeight="1">
      <c r="C284" s="4" t="n"/>
      <c r="D284" s="4" t="n"/>
      <c r="E284" s="4" t="n"/>
    </row>
    <row r="285" ht="15.75" customHeight="1">
      <c r="C285" s="4" t="n"/>
      <c r="D285" s="4" t="n"/>
      <c r="E285" s="4" t="n"/>
    </row>
    <row r="286" ht="15.75" customHeight="1">
      <c r="C286" s="4" t="n"/>
      <c r="D286" s="4" t="n"/>
      <c r="E286" s="4" t="n"/>
    </row>
    <row r="287" ht="15.75" customHeight="1">
      <c r="C287" s="4" t="n"/>
      <c r="D287" s="4" t="n"/>
      <c r="E287" s="4" t="n"/>
    </row>
    <row r="288" ht="15.75" customHeight="1">
      <c r="C288" s="4" t="n"/>
      <c r="D288" s="4" t="n"/>
      <c r="E288" s="4" t="n"/>
    </row>
    <row r="289" ht="15.75" customHeight="1">
      <c r="C289" s="4" t="n"/>
      <c r="D289" s="4" t="n"/>
      <c r="E289" s="4" t="n"/>
    </row>
    <row r="290" ht="15.75" customHeight="1">
      <c r="C290" s="4" t="n"/>
      <c r="D290" s="4" t="n"/>
      <c r="E290" s="4" t="n"/>
    </row>
    <row r="291" ht="15.75" customHeight="1">
      <c r="C291" s="4" t="n"/>
      <c r="D291" s="4" t="n"/>
      <c r="E291" s="4" t="n"/>
    </row>
    <row r="292" ht="15.75" customHeight="1">
      <c r="C292" s="4" t="n"/>
      <c r="D292" s="4" t="n"/>
      <c r="E292" s="4" t="n"/>
    </row>
    <row r="293" ht="15.75" customHeight="1">
      <c r="C293" s="4" t="n"/>
      <c r="D293" s="4" t="n"/>
      <c r="E293" s="4" t="n"/>
    </row>
    <row r="294" ht="15.75" customHeight="1">
      <c r="C294" s="4" t="n"/>
      <c r="D294" s="4" t="n"/>
      <c r="E294" s="4" t="n"/>
    </row>
    <row r="295" ht="15.75" customHeight="1">
      <c r="C295" s="4" t="n"/>
      <c r="D295" s="4" t="n"/>
      <c r="E295" s="4" t="n"/>
    </row>
    <row r="296" ht="15.75" customHeight="1">
      <c r="C296" s="4" t="n"/>
      <c r="D296" s="4" t="n"/>
      <c r="E296" s="4" t="n"/>
    </row>
    <row r="297" ht="15.75" customHeight="1">
      <c r="C297" s="4" t="n"/>
      <c r="D297" s="4" t="n"/>
      <c r="E297" s="4" t="n"/>
    </row>
    <row r="298" ht="15.75" customHeight="1">
      <c r="C298" s="4" t="n"/>
      <c r="D298" s="4" t="n"/>
      <c r="E298" s="4" t="n"/>
    </row>
    <row r="299" ht="15.75" customHeight="1">
      <c r="C299" s="4" t="n"/>
      <c r="D299" s="4" t="n"/>
      <c r="E299" s="4" t="n"/>
    </row>
    <row r="300" ht="15.75" customHeight="1">
      <c r="C300" s="4" t="n"/>
      <c r="D300" s="4" t="n"/>
      <c r="E300" s="4" t="n"/>
    </row>
    <row r="301" ht="15.75" customHeight="1">
      <c r="C301" s="4" t="n"/>
      <c r="D301" s="4" t="n"/>
      <c r="E301" s="4" t="n"/>
    </row>
    <row r="302" ht="15.75" customHeight="1">
      <c r="C302" s="4" t="n"/>
      <c r="D302" s="4" t="n"/>
      <c r="E302" s="4" t="n"/>
    </row>
    <row r="303" ht="15.75" customHeight="1">
      <c r="C303" s="4" t="n"/>
      <c r="D303" s="4" t="n"/>
      <c r="E303" s="4" t="n"/>
    </row>
    <row r="304" ht="15.75" customHeight="1">
      <c r="C304" s="4" t="n"/>
      <c r="D304" s="4" t="n"/>
      <c r="E304" s="4" t="n"/>
    </row>
    <row r="305" ht="15.75" customHeight="1">
      <c r="C305" s="4" t="n"/>
      <c r="D305" s="4" t="n"/>
      <c r="E305" s="4" t="n"/>
    </row>
    <row r="306" ht="15.75" customHeight="1">
      <c r="C306" s="4" t="n"/>
      <c r="D306" s="4" t="n"/>
      <c r="E306" s="4" t="n"/>
    </row>
    <row r="307" ht="15.75" customHeight="1">
      <c r="C307" s="4" t="n"/>
      <c r="D307" s="4" t="n"/>
      <c r="E307" s="4" t="n"/>
    </row>
    <row r="308" ht="15.75" customHeight="1">
      <c r="C308" s="4" t="n"/>
      <c r="D308" s="4" t="n"/>
      <c r="E308" s="4" t="n"/>
    </row>
    <row r="309" ht="15.75" customHeight="1">
      <c r="C309" s="4" t="n"/>
      <c r="D309" s="4" t="n"/>
      <c r="E309" s="4" t="n"/>
    </row>
    <row r="310" ht="15.75" customHeight="1">
      <c r="C310" s="4" t="n"/>
      <c r="D310" s="4" t="n"/>
      <c r="E310" s="4" t="n"/>
    </row>
    <row r="311" ht="15.75" customHeight="1">
      <c r="C311" s="4" t="n"/>
      <c r="D311" s="4" t="n"/>
      <c r="E311" s="4" t="n"/>
    </row>
    <row r="312" ht="15.75" customHeight="1">
      <c r="C312" s="4" t="n"/>
      <c r="D312" s="4" t="n"/>
      <c r="E312" s="4" t="n"/>
    </row>
    <row r="313" ht="15.75" customHeight="1">
      <c r="C313" s="4" t="n"/>
      <c r="D313" s="4" t="n"/>
      <c r="E313" s="4" t="n"/>
    </row>
    <row r="314" ht="15.75" customHeight="1">
      <c r="C314" s="4" t="n"/>
      <c r="D314" s="4" t="n"/>
      <c r="E314" s="4" t="n"/>
    </row>
    <row r="315" ht="15.75" customHeight="1">
      <c r="C315" s="4" t="n"/>
      <c r="D315" s="4" t="n"/>
      <c r="E315" s="4" t="n"/>
    </row>
    <row r="316" ht="15.75" customHeight="1">
      <c r="C316" s="4" t="n"/>
      <c r="D316" s="4" t="n"/>
      <c r="E316" s="4" t="n"/>
    </row>
    <row r="317" ht="15.75" customHeight="1">
      <c r="C317" s="4" t="n"/>
      <c r="D317" s="4" t="n"/>
      <c r="E317" s="4" t="n"/>
    </row>
    <row r="318" ht="15.75" customHeight="1">
      <c r="C318" s="4" t="n"/>
      <c r="D318" s="4" t="n"/>
      <c r="E318" s="4" t="n"/>
    </row>
    <row r="319" ht="15.75" customHeight="1">
      <c r="C319" s="4" t="n"/>
      <c r="D319" s="4" t="n"/>
      <c r="E319" s="4" t="n"/>
    </row>
    <row r="320" ht="15.75" customHeight="1">
      <c r="C320" s="4" t="n"/>
      <c r="D320" s="4" t="n"/>
      <c r="E320" s="4" t="n"/>
    </row>
    <row r="321" ht="15.75" customHeight="1">
      <c r="C321" s="4" t="n"/>
      <c r="D321" s="4" t="n"/>
      <c r="E321" s="4" t="n"/>
    </row>
    <row r="322" ht="15.75" customHeight="1">
      <c r="C322" s="4" t="n"/>
      <c r="D322" s="4" t="n"/>
      <c r="E322" s="4" t="n"/>
    </row>
    <row r="323" ht="15.75" customHeight="1">
      <c r="C323" s="4" t="n"/>
      <c r="D323" s="4" t="n"/>
      <c r="E323" s="4" t="n"/>
    </row>
    <row r="324" ht="15.75" customHeight="1">
      <c r="C324" s="4" t="n"/>
      <c r="D324" s="4" t="n"/>
      <c r="E324" s="4" t="n"/>
    </row>
    <row r="325" ht="15.75" customHeight="1">
      <c r="C325" s="4" t="n"/>
      <c r="D325" s="4" t="n"/>
      <c r="E325" s="4" t="n"/>
    </row>
    <row r="326" ht="15.75" customHeight="1">
      <c r="C326" s="4" t="n"/>
      <c r="D326" s="4" t="n"/>
      <c r="E326" s="4" t="n"/>
    </row>
    <row r="327" ht="15.75" customHeight="1">
      <c r="C327" s="4" t="n"/>
      <c r="D327" s="4" t="n"/>
      <c r="E327" s="4" t="n"/>
    </row>
    <row r="328" ht="15.75" customHeight="1">
      <c r="C328" s="4" t="n"/>
      <c r="D328" s="4" t="n"/>
      <c r="E328" s="4" t="n"/>
    </row>
    <row r="329" ht="15.75" customHeight="1">
      <c r="C329" s="4" t="n"/>
      <c r="D329" s="4" t="n"/>
      <c r="E329" s="4" t="n"/>
    </row>
    <row r="330" ht="15.75" customHeight="1">
      <c r="C330" s="4" t="n"/>
      <c r="D330" s="4" t="n"/>
      <c r="E330" s="4" t="n"/>
    </row>
    <row r="331" ht="15.75" customHeight="1">
      <c r="C331" s="4" t="n"/>
      <c r="D331" s="4" t="n"/>
      <c r="E331" s="4" t="n"/>
    </row>
    <row r="332" ht="15.75" customHeight="1">
      <c r="C332" s="4" t="n"/>
      <c r="D332" s="4" t="n"/>
      <c r="E332" s="4" t="n"/>
    </row>
    <row r="333" ht="15.75" customHeight="1">
      <c r="C333" s="4" t="n"/>
      <c r="D333" s="4" t="n"/>
      <c r="E333" s="4" t="n"/>
    </row>
    <row r="334" ht="15.75" customHeight="1">
      <c r="C334" s="4" t="n"/>
      <c r="D334" s="4" t="n"/>
      <c r="E334" s="4" t="n"/>
    </row>
    <row r="335" ht="15.75" customHeight="1">
      <c r="C335" s="4" t="n"/>
      <c r="D335" s="4" t="n"/>
      <c r="E335" s="4" t="n"/>
    </row>
    <row r="336" ht="15.75" customHeight="1">
      <c r="C336" s="4" t="n"/>
      <c r="D336" s="4" t="n"/>
      <c r="E336" s="4" t="n"/>
    </row>
    <row r="337" ht="15.75" customHeight="1">
      <c r="C337" s="4" t="n"/>
      <c r="D337" s="4" t="n"/>
      <c r="E337" s="4" t="n"/>
    </row>
    <row r="338" ht="15.75" customHeight="1">
      <c r="C338" s="4" t="n"/>
      <c r="D338" s="4" t="n"/>
      <c r="E338" s="4" t="n"/>
    </row>
    <row r="339" ht="15.75" customHeight="1">
      <c r="C339" s="4" t="n"/>
      <c r="D339" s="4" t="n"/>
      <c r="E339" s="4" t="n"/>
    </row>
    <row r="340" ht="15.75" customHeight="1">
      <c r="C340" s="4" t="n"/>
      <c r="D340" s="4" t="n"/>
      <c r="E340" s="4" t="n"/>
    </row>
    <row r="341" ht="15.75" customHeight="1">
      <c r="C341" s="4" t="n"/>
      <c r="D341" s="4" t="n"/>
      <c r="E341" s="4" t="n"/>
    </row>
    <row r="342" ht="15.75" customHeight="1">
      <c r="C342" s="4" t="n"/>
      <c r="D342" s="4" t="n"/>
      <c r="E342" s="4" t="n"/>
    </row>
    <row r="343" ht="15.75" customHeight="1">
      <c r="C343" s="4" t="n"/>
      <c r="D343" s="4" t="n"/>
      <c r="E343" s="4" t="n"/>
    </row>
    <row r="344" ht="15.75" customHeight="1">
      <c r="C344" s="4" t="n"/>
      <c r="D344" s="4" t="n"/>
      <c r="E344" s="4" t="n"/>
    </row>
    <row r="345" ht="15.75" customHeight="1">
      <c r="C345" s="4" t="n"/>
      <c r="D345" s="4" t="n"/>
      <c r="E345" s="4" t="n"/>
    </row>
    <row r="346" ht="15.75" customHeight="1">
      <c r="C346" s="4" t="n"/>
      <c r="D346" s="4" t="n"/>
      <c r="E346" s="4" t="n"/>
    </row>
    <row r="347" ht="15.75" customHeight="1">
      <c r="C347" s="4" t="n"/>
      <c r="D347" s="4" t="n"/>
      <c r="E347" s="4" t="n"/>
    </row>
    <row r="348" ht="15.75" customHeight="1">
      <c r="C348" s="4" t="n"/>
      <c r="D348" s="4" t="n"/>
      <c r="E348" s="4" t="n"/>
    </row>
    <row r="349" ht="15.75" customHeight="1">
      <c r="C349" s="4" t="n"/>
      <c r="D349" s="4" t="n"/>
      <c r="E349" s="4" t="n"/>
    </row>
    <row r="350" ht="15.75" customHeight="1">
      <c r="C350" s="4" t="n"/>
      <c r="D350" s="4" t="n"/>
      <c r="E350" s="4" t="n"/>
    </row>
    <row r="351" ht="15.75" customHeight="1">
      <c r="C351" s="4" t="n"/>
      <c r="D351" s="4" t="n"/>
      <c r="E351" s="4" t="n"/>
    </row>
    <row r="352" ht="15.75" customHeight="1">
      <c r="C352" s="4" t="n"/>
      <c r="D352" s="4" t="n"/>
      <c r="E352" s="4" t="n"/>
    </row>
    <row r="353" ht="15.75" customHeight="1">
      <c r="C353" s="4" t="n"/>
      <c r="D353" s="4" t="n"/>
      <c r="E353" s="4" t="n"/>
    </row>
    <row r="354" ht="15.75" customHeight="1">
      <c r="C354" s="4" t="n"/>
      <c r="D354" s="4" t="n"/>
      <c r="E354" s="4" t="n"/>
    </row>
    <row r="355" ht="15.75" customHeight="1">
      <c r="C355" s="4" t="n"/>
      <c r="D355" s="4" t="n"/>
      <c r="E355" s="4" t="n"/>
    </row>
    <row r="356" ht="15.75" customHeight="1">
      <c r="C356" s="4" t="n"/>
      <c r="D356" s="4" t="n"/>
      <c r="E356" s="4" t="n"/>
    </row>
    <row r="357" ht="15.75" customHeight="1">
      <c r="C357" s="4" t="n"/>
      <c r="D357" s="4" t="n"/>
      <c r="E357" s="4" t="n"/>
    </row>
    <row r="358" ht="15.75" customHeight="1">
      <c r="C358" s="4" t="n"/>
      <c r="D358" s="4" t="n"/>
      <c r="E358" s="4" t="n"/>
    </row>
    <row r="359" ht="15.75" customHeight="1">
      <c r="C359" s="4" t="n"/>
      <c r="D359" s="4" t="n"/>
      <c r="E359" s="4" t="n"/>
    </row>
    <row r="360" ht="15.75" customHeight="1">
      <c r="C360" s="4" t="n"/>
      <c r="D360" s="4" t="n"/>
      <c r="E360" s="4" t="n"/>
    </row>
    <row r="361" ht="15.75" customHeight="1">
      <c r="C361" s="4" t="n"/>
      <c r="D361" s="4" t="n"/>
      <c r="E361" s="4" t="n"/>
    </row>
    <row r="362" ht="15.75" customHeight="1">
      <c r="C362" s="4" t="n"/>
      <c r="D362" s="4" t="n"/>
      <c r="E362" s="4" t="n"/>
    </row>
    <row r="363" ht="15.75" customHeight="1">
      <c r="C363" s="4" t="n"/>
      <c r="D363" s="4" t="n"/>
      <c r="E363" s="4" t="n"/>
    </row>
    <row r="364" ht="15.75" customHeight="1">
      <c r="C364" s="4" t="n"/>
      <c r="D364" s="4" t="n"/>
      <c r="E364" s="4" t="n"/>
    </row>
    <row r="365" ht="15.75" customHeight="1">
      <c r="C365" s="4" t="n"/>
      <c r="D365" s="4" t="n"/>
      <c r="E365" s="4" t="n"/>
    </row>
    <row r="366" ht="15.75" customHeight="1">
      <c r="C366" s="4" t="n"/>
      <c r="D366" s="4" t="n"/>
      <c r="E366" s="4" t="n"/>
    </row>
    <row r="367" ht="15.75" customHeight="1">
      <c r="C367" s="4" t="n"/>
      <c r="D367" s="4" t="n"/>
      <c r="E367" s="4" t="n"/>
    </row>
    <row r="368" ht="15.75" customHeight="1">
      <c r="C368" s="4" t="n"/>
      <c r="D368" s="4" t="n"/>
      <c r="E368" s="4" t="n"/>
    </row>
    <row r="369" ht="15.75" customHeight="1">
      <c r="C369" s="4" t="n"/>
      <c r="D369" s="4" t="n"/>
      <c r="E369" s="4" t="n"/>
    </row>
    <row r="370" ht="15.75" customHeight="1">
      <c r="C370" s="4" t="n"/>
      <c r="D370" s="4" t="n"/>
      <c r="E370" s="4" t="n"/>
    </row>
    <row r="371" ht="15.75" customHeight="1">
      <c r="C371" s="4" t="n"/>
      <c r="D371" s="4" t="n"/>
      <c r="E371" s="4" t="n"/>
    </row>
    <row r="372" ht="15.75" customHeight="1">
      <c r="C372" s="4" t="n"/>
      <c r="D372" s="4" t="n"/>
      <c r="E372" s="4" t="n"/>
    </row>
    <row r="373" ht="15.75" customHeight="1">
      <c r="C373" s="4" t="n"/>
      <c r="D373" s="4" t="n"/>
      <c r="E373" s="4" t="n"/>
    </row>
    <row r="374" ht="15.75" customHeight="1">
      <c r="C374" s="4" t="n"/>
      <c r="D374" s="4" t="n"/>
      <c r="E374" s="4" t="n"/>
    </row>
    <row r="375" ht="15.75" customHeight="1">
      <c r="C375" s="4" t="n"/>
      <c r="D375" s="4" t="n"/>
      <c r="E375" s="4" t="n"/>
    </row>
    <row r="376" ht="15.75" customHeight="1">
      <c r="C376" s="4" t="n"/>
      <c r="D376" s="4" t="n"/>
      <c r="E376" s="4" t="n"/>
    </row>
    <row r="377" ht="15.75" customHeight="1">
      <c r="C377" s="4" t="n"/>
      <c r="D377" s="4" t="n"/>
      <c r="E377" s="4" t="n"/>
    </row>
    <row r="378" ht="15.75" customHeight="1">
      <c r="C378" s="4" t="n"/>
      <c r="D378" s="4" t="n"/>
      <c r="E378" s="4" t="n"/>
    </row>
    <row r="379" ht="15.75" customHeight="1">
      <c r="C379" s="4" t="n"/>
      <c r="D379" s="4" t="n"/>
      <c r="E379" s="4" t="n"/>
    </row>
    <row r="380" ht="15.75" customHeight="1">
      <c r="C380" s="4" t="n"/>
      <c r="D380" s="4" t="n"/>
      <c r="E380" s="4" t="n"/>
    </row>
    <row r="381" ht="15.75" customHeight="1">
      <c r="C381" s="4" t="n"/>
      <c r="D381" s="4" t="n"/>
      <c r="E381" s="4" t="n"/>
    </row>
    <row r="382" ht="15.75" customHeight="1">
      <c r="C382" s="4" t="n"/>
      <c r="D382" s="4" t="n"/>
      <c r="E382" s="4" t="n"/>
    </row>
    <row r="383" ht="15.75" customHeight="1">
      <c r="C383" s="4" t="n"/>
      <c r="D383" s="4" t="n"/>
      <c r="E383" s="4" t="n"/>
    </row>
    <row r="384" ht="15.75" customHeight="1">
      <c r="C384" s="4" t="n"/>
      <c r="D384" s="4" t="n"/>
      <c r="E384" s="4" t="n"/>
    </row>
    <row r="385" ht="15.75" customHeight="1">
      <c r="C385" s="4" t="n"/>
      <c r="D385" s="4" t="n"/>
      <c r="E385" s="4" t="n"/>
    </row>
    <row r="386" ht="15.75" customHeight="1">
      <c r="C386" s="4" t="n"/>
      <c r="D386" s="4" t="n"/>
      <c r="E386" s="4" t="n"/>
    </row>
    <row r="387" ht="15.75" customHeight="1">
      <c r="C387" s="4" t="n"/>
      <c r="D387" s="4" t="n"/>
      <c r="E387" s="4" t="n"/>
    </row>
    <row r="388" ht="15.75" customHeight="1">
      <c r="C388" s="4" t="n"/>
      <c r="D388" s="4" t="n"/>
      <c r="E388" s="4" t="n"/>
    </row>
    <row r="389" ht="15.75" customHeight="1">
      <c r="C389" s="4" t="n"/>
      <c r="D389" s="4" t="n"/>
      <c r="E389" s="4" t="n"/>
    </row>
    <row r="390" ht="15.75" customHeight="1">
      <c r="C390" s="4" t="n"/>
      <c r="D390" s="4" t="n"/>
      <c r="E390" s="4" t="n"/>
    </row>
    <row r="391" ht="15.75" customHeight="1">
      <c r="C391" s="4" t="n"/>
      <c r="D391" s="4" t="n"/>
      <c r="E391" s="4" t="n"/>
    </row>
    <row r="392" ht="15.75" customHeight="1">
      <c r="C392" s="4" t="n"/>
      <c r="D392" s="4" t="n"/>
      <c r="E392" s="4" t="n"/>
    </row>
    <row r="393" ht="15.75" customHeight="1">
      <c r="C393" s="4" t="n"/>
      <c r="D393" s="4" t="n"/>
      <c r="E393" s="4" t="n"/>
    </row>
    <row r="394" ht="15.75" customHeight="1">
      <c r="C394" s="4" t="n"/>
      <c r="D394" s="4" t="n"/>
      <c r="E394" s="4" t="n"/>
    </row>
    <row r="395" ht="15.75" customHeight="1">
      <c r="C395" s="4" t="n"/>
      <c r="D395" s="4" t="n"/>
      <c r="E395" s="4" t="n"/>
    </row>
    <row r="396" ht="15.75" customHeight="1">
      <c r="C396" s="4" t="n"/>
      <c r="D396" s="4" t="n"/>
      <c r="E396" s="4" t="n"/>
    </row>
    <row r="397" ht="15.75" customHeight="1">
      <c r="C397" s="4" t="n"/>
      <c r="D397" s="4" t="n"/>
      <c r="E397" s="4" t="n"/>
    </row>
    <row r="398" ht="15.75" customHeight="1">
      <c r="C398" s="4" t="n"/>
      <c r="D398" s="4" t="n"/>
      <c r="E398" s="4" t="n"/>
    </row>
    <row r="399" ht="15.75" customHeight="1">
      <c r="C399" s="4" t="n"/>
      <c r="D399" s="4" t="n"/>
      <c r="E399" s="4" t="n"/>
    </row>
    <row r="400" ht="15.75" customHeight="1">
      <c r="C400" s="4" t="n"/>
      <c r="D400" s="4" t="n"/>
      <c r="E400" s="4" t="n"/>
    </row>
    <row r="401" ht="15.75" customHeight="1">
      <c r="C401" s="4" t="n"/>
      <c r="D401" s="4" t="n"/>
      <c r="E401" s="4" t="n"/>
    </row>
    <row r="402" ht="15.75" customHeight="1">
      <c r="C402" s="4" t="n"/>
      <c r="D402" s="4" t="n"/>
      <c r="E402" s="4" t="n"/>
    </row>
    <row r="403" ht="15.75" customHeight="1">
      <c r="C403" s="4" t="n"/>
      <c r="D403" s="4" t="n"/>
      <c r="E403" s="4" t="n"/>
    </row>
    <row r="404" ht="15.75" customHeight="1">
      <c r="C404" s="4" t="n"/>
      <c r="D404" s="4" t="n"/>
      <c r="E404" s="4" t="n"/>
    </row>
    <row r="405" ht="15.75" customHeight="1">
      <c r="C405" s="4" t="n"/>
      <c r="D405" s="4" t="n"/>
      <c r="E405" s="4" t="n"/>
    </row>
    <row r="406" ht="15.75" customHeight="1">
      <c r="C406" s="4" t="n"/>
      <c r="D406" s="4" t="n"/>
      <c r="E406" s="4" t="n"/>
    </row>
    <row r="407" ht="15.75" customHeight="1">
      <c r="C407" s="4" t="n"/>
      <c r="D407" s="4" t="n"/>
      <c r="E407" s="4" t="n"/>
    </row>
    <row r="408" ht="15.75" customHeight="1">
      <c r="C408" s="4" t="n"/>
      <c r="D408" s="4" t="n"/>
      <c r="E408" s="4" t="n"/>
    </row>
    <row r="409" ht="15.75" customHeight="1">
      <c r="C409" s="4" t="n"/>
      <c r="D409" s="4" t="n"/>
      <c r="E409" s="4" t="n"/>
    </row>
    <row r="410" ht="15.75" customHeight="1">
      <c r="C410" s="4" t="n"/>
      <c r="D410" s="4" t="n"/>
      <c r="E410" s="4" t="n"/>
    </row>
    <row r="411" ht="15.75" customHeight="1">
      <c r="C411" s="4" t="n"/>
      <c r="D411" s="4" t="n"/>
      <c r="E411" s="4" t="n"/>
    </row>
    <row r="412" ht="15.75" customHeight="1">
      <c r="C412" s="4" t="n"/>
      <c r="D412" s="4" t="n"/>
      <c r="E412" s="4" t="n"/>
    </row>
    <row r="413" ht="15.75" customHeight="1">
      <c r="C413" s="4" t="n"/>
      <c r="D413" s="4" t="n"/>
      <c r="E413" s="4" t="n"/>
    </row>
    <row r="414" ht="15.75" customHeight="1">
      <c r="C414" s="4" t="n"/>
      <c r="D414" s="4" t="n"/>
      <c r="E414" s="4" t="n"/>
    </row>
    <row r="415" ht="15.75" customHeight="1">
      <c r="C415" s="4" t="n"/>
      <c r="D415" s="4" t="n"/>
      <c r="E415" s="4" t="n"/>
    </row>
    <row r="416" ht="15.75" customHeight="1">
      <c r="C416" s="4" t="n"/>
      <c r="D416" s="4" t="n"/>
      <c r="E416" s="4" t="n"/>
    </row>
    <row r="417" ht="15.75" customHeight="1">
      <c r="C417" s="4" t="n"/>
      <c r="D417" s="4" t="n"/>
      <c r="E417" s="4" t="n"/>
    </row>
    <row r="418" ht="15.75" customHeight="1">
      <c r="C418" s="4" t="n"/>
      <c r="D418" s="4" t="n"/>
      <c r="E418" s="4" t="n"/>
    </row>
    <row r="419" ht="15.75" customHeight="1">
      <c r="C419" s="4" t="n"/>
      <c r="D419" s="4" t="n"/>
      <c r="E419" s="4" t="n"/>
    </row>
    <row r="420" ht="15.75" customHeight="1">
      <c r="C420" s="4" t="n"/>
      <c r="D420" s="4" t="n"/>
      <c r="E420" s="4" t="n"/>
    </row>
    <row r="421" ht="15.75" customHeight="1">
      <c r="C421" s="4" t="n"/>
      <c r="D421" s="4" t="n"/>
      <c r="E421" s="4" t="n"/>
    </row>
    <row r="422" ht="15.75" customHeight="1">
      <c r="C422" s="4" t="n"/>
      <c r="D422" s="4" t="n"/>
      <c r="E422" s="4" t="n"/>
    </row>
    <row r="423" ht="15.75" customHeight="1">
      <c r="C423" s="4" t="n"/>
      <c r="D423" s="4" t="n"/>
      <c r="E423" s="4" t="n"/>
    </row>
    <row r="424" ht="15.75" customHeight="1">
      <c r="C424" s="4" t="n"/>
      <c r="D424" s="4" t="n"/>
      <c r="E424" s="4" t="n"/>
    </row>
    <row r="425" ht="15.75" customHeight="1">
      <c r="C425" s="4" t="n"/>
      <c r="D425" s="4" t="n"/>
      <c r="E425" s="4" t="n"/>
    </row>
    <row r="426" ht="15.75" customHeight="1">
      <c r="C426" s="4" t="n"/>
      <c r="D426" s="4" t="n"/>
      <c r="E426" s="4" t="n"/>
    </row>
    <row r="427" ht="15.75" customHeight="1">
      <c r="C427" s="4" t="n"/>
      <c r="D427" s="4" t="n"/>
      <c r="E427" s="4" t="n"/>
    </row>
    <row r="428" ht="15.75" customHeight="1">
      <c r="C428" s="4" t="n"/>
      <c r="D428" s="4" t="n"/>
      <c r="E428" s="4" t="n"/>
    </row>
    <row r="429" ht="15.75" customHeight="1">
      <c r="C429" s="4" t="n"/>
      <c r="D429" s="4" t="n"/>
      <c r="E429" s="4" t="n"/>
    </row>
    <row r="430" ht="15.75" customHeight="1">
      <c r="C430" s="4" t="n"/>
      <c r="D430" s="4" t="n"/>
      <c r="E430" s="4" t="n"/>
    </row>
    <row r="431" ht="15.75" customHeight="1">
      <c r="C431" s="4" t="n"/>
      <c r="D431" s="4" t="n"/>
      <c r="E431" s="4" t="n"/>
    </row>
    <row r="432" ht="15.75" customHeight="1">
      <c r="C432" s="4" t="n"/>
      <c r="D432" s="4" t="n"/>
      <c r="E432" s="4" t="n"/>
    </row>
    <row r="433" ht="15.75" customHeight="1">
      <c r="C433" s="4" t="n"/>
      <c r="D433" s="4" t="n"/>
      <c r="E433" s="4" t="n"/>
    </row>
    <row r="434" ht="15.75" customHeight="1">
      <c r="C434" s="4" t="n"/>
      <c r="D434" s="4" t="n"/>
      <c r="E434" s="4" t="n"/>
    </row>
    <row r="435" ht="15.75" customHeight="1">
      <c r="C435" s="4" t="n"/>
      <c r="D435" s="4" t="n"/>
      <c r="E435" s="4" t="n"/>
    </row>
    <row r="436" ht="15.75" customHeight="1">
      <c r="C436" s="4" t="n"/>
      <c r="D436" s="4" t="n"/>
      <c r="E436" s="4" t="n"/>
    </row>
    <row r="437" ht="15.75" customHeight="1">
      <c r="C437" s="4" t="n"/>
      <c r="D437" s="4" t="n"/>
      <c r="E437" s="4" t="n"/>
    </row>
    <row r="438" ht="15.75" customHeight="1">
      <c r="C438" s="4" t="n"/>
      <c r="D438" s="4" t="n"/>
      <c r="E438" s="4" t="n"/>
    </row>
    <row r="439" ht="15.75" customHeight="1">
      <c r="C439" s="4" t="n"/>
      <c r="D439" s="4" t="n"/>
      <c r="E439" s="4" t="n"/>
    </row>
    <row r="440" ht="15.75" customHeight="1">
      <c r="C440" s="4" t="n"/>
      <c r="D440" s="4" t="n"/>
      <c r="E440" s="4" t="n"/>
    </row>
    <row r="441" ht="15.75" customHeight="1">
      <c r="C441" s="4" t="n"/>
      <c r="D441" s="4" t="n"/>
      <c r="E441" s="4" t="n"/>
    </row>
    <row r="442" ht="15.75" customHeight="1">
      <c r="C442" s="4" t="n"/>
      <c r="D442" s="4" t="n"/>
      <c r="E442" s="4" t="n"/>
    </row>
    <row r="443" ht="15.75" customHeight="1">
      <c r="C443" s="4" t="n"/>
      <c r="D443" s="4" t="n"/>
      <c r="E443" s="4" t="n"/>
    </row>
    <row r="444" ht="15.75" customHeight="1">
      <c r="C444" s="4" t="n"/>
      <c r="D444" s="4" t="n"/>
      <c r="E444" s="4" t="n"/>
    </row>
    <row r="445" ht="15.75" customHeight="1">
      <c r="C445" s="4" t="n"/>
      <c r="D445" s="4" t="n"/>
      <c r="E445" s="4" t="n"/>
    </row>
    <row r="446" ht="15.75" customHeight="1">
      <c r="C446" s="4" t="n"/>
      <c r="D446" s="4" t="n"/>
      <c r="E446" s="4" t="n"/>
    </row>
    <row r="447" ht="15.75" customHeight="1">
      <c r="C447" s="4" t="n"/>
      <c r="D447" s="4" t="n"/>
      <c r="E447" s="4" t="n"/>
    </row>
    <row r="448" ht="15.75" customHeight="1">
      <c r="C448" s="4" t="n"/>
      <c r="D448" s="4" t="n"/>
      <c r="E448" s="4" t="n"/>
    </row>
    <row r="449" ht="15.75" customHeight="1">
      <c r="C449" s="4" t="n"/>
      <c r="D449" s="4" t="n"/>
      <c r="E449" s="4" t="n"/>
    </row>
    <row r="450" ht="15.75" customHeight="1">
      <c r="C450" s="4" t="n"/>
      <c r="D450" s="4" t="n"/>
      <c r="E450" s="4" t="n"/>
    </row>
    <row r="451" ht="15.75" customHeight="1">
      <c r="C451" s="4" t="n"/>
      <c r="D451" s="4" t="n"/>
      <c r="E451" s="4" t="n"/>
    </row>
    <row r="452" ht="15.75" customHeight="1">
      <c r="C452" s="4" t="n"/>
      <c r="D452" s="4" t="n"/>
      <c r="E452" s="4" t="n"/>
    </row>
    <row r="453" ht="15.75" customHeight="1">
      <c r="C453" s="4" t="n"/>
      <c r="D453" s="4" t="n"/>
      <c r="E453" s="4" t="n"/>
    </row>
    <row r="454" ht="15.75" customHeight="1">
      <c r="C454" s="4" t="n"/>
      <c r="D454" s="4" t="n"/>
      <c r="E454" s="4" t="n"/>
    </row>
    <row r="455" ht="15.75" customHeight="1">
      <c r="C455" s="4" t="n"/>
      <c r="D455" s="4" t="n"/>
      <c r="E455" s="4" t="n"/>
    </row>
    <row r="456" ht="15.75" customHeight="1">
      <c r="C456" s="4" t="n"/>
      <c r="D456" s="4" t="n"/>
      <c r="E456" s="4" t="n"/>
    </row>
    <row r="457" ht="15.75" customHeight="1">
      <c r="C457" s="4" t="n"/>
      <c r="D457" s="4" t="n"/>
      <c r="E457" s="4" t="n"/>
    </row>
    <row r="458" ht="15.75" customHeight="1">
      <c r="C458" s="4" t="n"/>
      <c r="D458" s="4" t="n"/>
      <c r="E458" s="4" t="n"/>
    </row>
    <row r="459" ht="15.75" customHeight="1">
      <c r="C459" s="4" t="n"/>
      <c r="D459" s="4" t="n"/>
      <c r="E459" s="4" t="n"/>
    </row>
    <row r="460" ht="15.75" customHeight="1">
      <c r="C460" s="4" t="n"/>
      <c r="D460" s="4" t="n"/>
      <c r="E460" s="4" t="n"/>
    </row>
    <row r="461" ht="15.75" customHeight="1">
      <c r="C461" s="4" t="n"/>
      <c r="D461" s="4" t="n"/>
      <c r="E461" s="4" t="n"/>
    </row>
    <row r="462" ht="15.75" customHeight="1">
      <c r="C462" s="4" t="n"/>
      <c r="D462" s="4" t="n"/>
      <c r="E462" s="4" t="n"/>
    </row>
    <row r="463" ht="15.75" customHeight="1">
      <c r="C463" s="4" t="n"/>
      <c r="D463" s="4" t="n"/>
      <c r="E463" s="4" t="n"/>
    </row>
    <row r="464" ht="15.75" customHeight="1">
      <c r="C464" s="4" t="n"/>
      <c r="D464" s="4" t="n"/>
      <c r="E464" s="4" t="n"/>
    </row>
    <row r="465" ht="15.75" customHeight="1">
      <c r="C465" s="4" t="n"/>
      <c r="D465" s="4" t="n"/>
      <c r="E465" s="4" t="n"/>
    </row>
    <row r="466" ht="15.75" customHeight="1">
      <c r="C466" s="4" t="n"/>
      <c r="D466" s="4" t="n"/>
      <c r="E466" s="4" t="n"/>
    </row>
    <row r="467" ht="15.75" customHeight="1">
      <c r="C467" s="4" t="n"/>
      <c r="D467" s="4" t="n"/>
      <c r="E467" s="4" t="n"/>
    </row>
    <row r="468" ht="15.75" customHeight="1">
      <c r="C468" s="4" t="n"/>
      <c r="D468" s="4" t="n"/>
      <c r="E468" s="4" t="n"/>
    </row>
    <row r="469" ht="15.75" customHeight="1">
      <c r="C469" s="4" t="n"/>
      <c r="D469" s="4" t="n"/>
      <c r="E469" s="4" t="n"/>
    </row>
    <row r="470" ht="15.75" customHeight="1">
      <c r="C470" s="4" t="n"/>
      <c r="D470" s="4" t="n"/>
      <c r="E470" s="4" t="n"/>
    </row>
    <row r="471" ht="15.75" customHeight="1">
      <c r="C471" s="4" t="n"/>
      <c r="D471" s="4" t="n"/>
      <c r="E471" s="4" t="n"/>
    </row>
    <row r="472" ht="15.75" customHeight="1">
      <c r="C472" s="4" t="n"/>
      <c r="D472" s="4" t="n"/>
      <c r="E472" s="4" t="n"/>
    </row>
    <row r="473" ht="15.75" customHeight="1">
      <c r="C473" s="4" t="n"/>
      <c r="D473" s="4" t="n"/>
      <c r="E473" s="4" t="n"/>
    </row>
    <row r="474" ht="15.75" customHeight="1">
      <c r="C474" s="4" t="n"/>
      <c r="D474" s="4" t="n"/>
      <c r="E474" s="4" t="n"/>
    </row>
    <row r="475" ht="15.75" customHeight="1">
      <c r="C475" s="4" t="n"/>
      <c r="D475" s="4" t="n"/>
      <c r="E475" s="4" t="n"/>
    </row>
    <row r="476" ht="15.75" customHeight="1">
      <c r="C476" s="4" t="n"/>
      <c r="D476" s="4" t="n"/>
      <c r="E476" s="4" t="n"/>
    </row>
    <row r="477" ht="15.75" customHeight="1">
      <c r="C477" s="4" t="n"/>
      <c r="D477" s="4" t="n"/>
      <c r="E477" s="4" t="n"/>
    </row>
    <row r="478" ht="15.75" customHeight="1">
      <c r="C478" s="4" t="n"/>
      <c r="D478" s="4" t="n"/>
      <c r="E478" s="4" t="n"/>
    </row>
    <row r="479" ht="15.75" customHeight="1">
      <c r="C479" s="4" t="n"/>
      <c r="D479" s="4" t="n"/>
      <c r="E479" s="4" t="n"/>
    </row>
    <row r="480" ht="15.75" customHeight="1">
      <c r="C480" s="4" t="n"/>
      <c r="D480" s="4" t="n"/>
      <c r="E480" s="4" t="n"/>
    </row>
    <row r="481" ht="15.75" customHeight="1">
      <c r="C481" s="4" t="n"/>
      <c r="D481" s="4" t="n"/>
      <c r="E481" s="4" t="n"/>
    </row>
    <row r="482" ht="15.75" customHeight="1">
      <c r="C482" s="4" t="n"/>
      <c r="D482" s="4" t="n"/>
      <c r="E482" s="4" t="n"/>
    </row>
    <row r="483" ht="15.75" customHeight="1">
      <c r="C483" s="4" t="n"/>
      <c r="D483" s="4" t="n"/>
      <c r="E483" s="4" t="n"/>
    </row>
    <row r="484" ht="15.75" customHeight="1">
      <c r="C484" s="4" t="n"/>
      <c r="D484" s="4" t="n"/>
      <c r="E484" s="4" t="n"/>
    </row>
    <row r="485" ht="15.75" customHeight="1">
      <c r="C485" s="4" t="n"/>
      <c r="D485" s="4" t="n"/>
      <c r="E485" s="4" t="n"/>
    </row>
    <row r="486" ht="15.75" customHeight="1">
      <c r="C486" s="4" t="n"/>
      <c r="D486" s="4" t="n"/>
      <c r="E486" s="4" t="n"/>
    </row>
    <row r="487" ht="15.75" customHeight="1">
      <c r="C487" s="4" t="n"/>
      <c r="D487" s="4" t="n"/>
      <c r="E487" s="4" t="n"/>
    </row>
    <row r="488" ht="15.75" customHeight="1">
      <c r="C488" s="4" t="n"/>
      <c r="D488" s="4" t="n"/>
      <c r="E488" s="4" t="n"/>
    </row>
    <row r="489" ht="15.75" customHeight="1">
      <c r="C489" s="4" t="n"/>
      <c r="D489" s="4" t="n"/>
      <c r="E489" s="4" t="n"/>
    </row>
    <row r="490" ht="15.75" customHeight="1">
      <c r="C490" s="4" t="n"/>
      <c r="D490" s="4" t="n"/>
      <c r="E490" s="4" t="n"/>
    </row>
    <row r="491" ht="15.75" customHeight="1">
      <c r="C491" s="4" t="n"/>
      <c r="D491" s="4" t="n"/>
      <c r="E491" s="4" t="n"/>
    </row>
    <row r="492" ht="15.75" customHeight="1">
      <c r="C492" s="4" t="n"/>
      <c r="D492" s="4" t="n"/>
      <c r="E492" s="4" t="n"/>
    </row>
    <row r="493" ht="15.75" customHeight="1">
      <c r="C493" s="4" t="n"/>
      <c r="D493" s="4" t="n"/>
      <c r="E493" s="4" t="n"/>
    </row>
    <row r="494" ht="15.75" customHeight="1">
      <c r="C494" s="4" t="n"/>
      <c r="D494" s="4" t="n"/>
      <c r="E494" s="4" t="n"/>
    </row>
    <row r="495" ht="15.75" customHeight="1">
      <c r="C495" s="4" t="n"/>
      <c r="D495" s="4" t="n"/>
      <c r="E495" s="4" t="n"/>
    </row>
    <row r="496" ht="15.75" customHeight="1">
      <c r="C496" s="4" t="n"/>
      <c r="D496" s="4" t="n"/>
      <c r="E496" s="4" t="n"/>
    </row>
    <row r="497" ht="15.75" customHeight="1">
      <c r="C497" s="4" t="n"/>
      <c r="D497" s="4" t="n"/>
      <c r="E497" s="4" t="n"/>
    </row>
    <row r="498" ht="15.75" customHeight="1">
      <c r="C498" s="4" t="n"/>
      <c r="D498" s="4" t="n"/>
      <c r="E498" s="4" t="n"/>
    </row>
    <row r="499" ht="15.75" customHeight="1">
      <c r="C499" s="4" t="n"/>
      <c r="D499" s="4" t="n"/>
      <c r="E499" s="4" t="n"/>
    </row>
    <row r="500" ht="15.75" customHeight="1">
      <c r="C500" s="4" t="n"/>
      <c r="D500" s="4" t="n"/>
      <c r="E500" s="4" t="n"/>
    </row>
    <row r="501" ht="15.75" customHeight="1">
      <c r="C501" s="4" t="n"/>
      <c r="D501" s="4" t="n"/>
      <c r="E501" s="4" t="n"/>
    </row>
    <row r="502" ht="15.75" customHeight="1">
      <c r="C502" s="4" t="n"/>
      <c r="D502" s="4" t="n"/>
      <c r="E502" s="4" t="n"/>
    </row>
    <row r="503" ht="15.75" customHeight="1">
      <c r="C503" s="4" t="n"/>
      <c r="D503" s="4" t="n"/>
      <c r="E503" s="4" t="n"/>
    </row>
    <row r="504" ht="15.75" customHeight="1">
      <c r="C504" s="4" t="n"/>
      <c r="D504" s="4" t="n"/>
      <c r="E504" s="4" t="n"/>
    </row>
    <row r="505" ht="15.75" customHeight="1">
      <c r="C505" s="4" t="n"/>
      <c r="D505" s="4" t="n"/>
      <c r="E505" s="4" t="n"/>
    </row>
    <row r="506" ht="15.75" customHeight="1">
      <c r="C506" s="4" t="n"/>
      <c r="D506" s="4" t="n"/>
      <c r="E506" s="4" t="n"/>
    </row>
    <row r="507" ht="15.75" customHeight="1">
      <c r="C507" s="4" t="n"/>
      <c r="D507" s="4" t="n"/>
      <c r="E507" s="4" t="n"/>
    </row>
    <row r="508" ht="15.75" customHeight="1">
      <c r="C508" s="4" t="n"/>
      <c r="D508" s="4" t="n"/>
      <c r="E508" s="4" t="n"/>
    </row>
    <row r="509" ht="15.75" customHeight="1">
      <c r="C509" s="4" t="n"/>
      <c r="D509" s="4" t="n"/>
      <c r="E509" s="4" t="n"/>
    </row>
    <row r="510" ht="15.75" customHeight="1">
      <c r="C510" s="4" t="n"/>
      <c r="D510" s="4" t="n"/>
      <c r="E510" s="4" t="n"/>
    </row>
    <row r="511" ht="15.75" customHeight="1">
      <c r="C511" s="4" t="n"/>
      <c r="D511" s="4" t="n"/>
      <c r="E511" s="4" t="n"/>
    </row>
    <row r="512" ht="15.75" customHeight="1">
      <c r="C512" s="4" t="n"/>
      <c r="D512" s="4" t="n"/>
      <c r="E512" s="4" t="n"/>
    </row>
    <row r="513" ht="15.75" customHeight="1">
      <c r="C513" s="4" t="n"/>
      <c r="D513" s="4" t="n"/>
      <c r="E513" s="4" t="n"/>
    </row>
    <row r="514" ht="15.75" customHeight="1">
      <c r="C514" s="4" t="n"/>
      <c r="D514" s="4" t="n"/>
      <c r="E514" s="4" t="n"/>
    </row>
    <row r="515" ht="15.75" customHeight="1">
      <c r="C515" s="4" t="n"/>
      <c r="D515" s="4" t="n"/>
      <c r="E515" s="4" t="n"/>
    </row>
    <row r="516" ht="15.75" customHeight="1">
      <c r="C516" s="4" t="n"/>
      <c r="D516" s="4" t="n"/>
      <c r="E516" s="4" t="n"/>
    </row>
    <row r="517" ht="15.75" customHeight="1">
      <c r="C517" s="4" t="n"/>
      <c r="D517" s="4" t="n"/>
      <c r="E517" s="4" t="n"/>
    </row>
    <row r="518" ht="15.75" customHeight="1">
      <c r="C518" s="4" t="n"/>
      <c r="D518" s="4" t="n"/>
      <c r="E518" s="4" t="n"/>
    </row>
    <row r="519" ht="15.75" customHeight="1">
      <c r="C519" s="4" t="n"/>
      <c r="D519" s="4" t="n"/>
      <c r="E519" s="4" t="n"/>
    </row>
    <row r="520" ht="15.75" customHeight="1">
      <c r="C520" s="4" t="n"/>
      <c r="D520" s="4" t="n"/>
      <c r="E520" s="4" t="n"/>
    </row>
    <row r="521" ht="15.75" customHeight="1">
      <c r="C521" s="4" t="n"/>
      <c r="D521" s="4" t="n"/>
      <c r="E521" s="4" t="n"/>
    </row>
    <row r="522" ht="15.75" customHeight="1">
      <c r="C522" s="4" t="n"/>
      <c r="D522" s="4" t="n"/>
      <c r="E522" s="4" t="n"/>
    </row>
    <row r="523" ht="15.75" customHeight="1">
      <c r="C523" s="4" t="n"/>
      <c r="D523" s="4" t="n"/>
      <c r="E523" s="4" t="n"/>
    </row>
    <row r="524" ht="15.75" customHeight="1">
      <c r="C524" s="4" t="n"/>
      <c r="D524" s="4" t="n"/>
      <c r="E524" s="4" t="n"/>
    </row>
    <row r="525" ht="15.75" customHeight="1">
      <c r="C525" s="4" t="n"/>
      <c r="D525" s="4" t="n"/>
      <c r="E525" s="4" t="n"/>
    </row>
    <row r="526" ht="15.75" customHeight="1">
      <c r="C526" s="4" t="n"/>
      <c r="D526" s="4" t="n"/>
      <c r="E526" s="4" t="n"/>
    </row>
    <row r="527" ht="15.75" customHeight="1">
      <c r="C527" s="4" t="n"/>
      <c r="D527" s="4" t="n"/>
      <c r="E527" s="4" t="n"/>
    </row>
    <row r="528" ht="15.75" customHeight="1">
      <c r="C528" s="4" t="n"/>
      <c r="D528" s="4" t="n"/>
      <c r="E528" s="4" t="n"/>
    </row>
    <row r="529" ht="15.75" customHeight="1">
      <c r="C529" s="4" t="n"/>
      <c r="D529" s="4" t="n"/>
      <c r="E529" s="4" t="n"/>
    </row>
    <row r="530" ht="15.75" customHeight="1">
      <c r="C530" s="4" t="n"/>
      <c r="D530" s="4" t="n"/>
      <c r="E530" s="4" t="n"/>
    </row>
    <row r="531" ht="15.75" customHeight="1">
      <c r="C531" s="4" t="n"/>
      <c r="D531" s="4" t="n"/>
      <c r="E531" s="4" t="n"/>
    </row>
    <row r="532" ht="15.75" customHeight="1">
      <c r="C532" s="4" t="n"/>
      <c r="D532" s="4" t="n"/>
      <c r="E532" s="4" t="n"/>
    </row>
    <row r="533" ht="15.75" customHeight="1">
      <c r="C533" s="4" t="n"/>
      <c r="D533" s="4" t="n"/>
      <c r="E533" s="4" t="n"/>
    </row>
    <row r="534" ht="15.75" customHeight="1">
      <c r="C534" s="4" t="n"/>
      <c r="D534" s="4" t="n"/>
      <c r="E534" s="4" t="n"/>
    </row>
    <row r="535" ht="15.75" customHeight="1">
      <c r="C535" s="4" t="n"/>
      <c r="D535" s="4" t="n"/>
      <c r="E535" s="4" t="n"/>
    </row>
    <row r="536" ht="15.75" customHeight="1">
      <c r="C536" s="4" t="n"/>
      <c r="D536" s="4" t="n"/>
      <c r="E536" s="4" t="n"/>
    </row>
    <row r="537" ht="15.75" customHeight="1">
      <c r="C537" s="4" t="n"/>
      <c r="D537" s="4" t="n"/>
      <c r="E537" s="4" t="n"/>
    </row>
    <row r="538" ht="15.75" customHeight="1">
      <c r="C538" s="4" t="n"/>
      <c r="D538" s="4" t="n"/>
      <c r="E538" s="4" t="n"/>
    </row>
    <row r="539" ht="15.75" customHeight="1">
      <c r="C539" s="4" t="n"/>
      <c r="D539" s="4" t="n"/>
      <c r="E539" s="4" t="n"/>
    </row>
    <row r="540" ht="15.75" customHeight="1">
      <c r="C540" s="4" t="n"/>
      <c r="D540" s="4" t="n"/>
      <c r="E540" s="4" t="n"/>
    </row>
    <row r="541" ht="15.75" customHeight="1">
      <c r="C541" s="4" t="n"/>
      <c r="D541" s="4" t="n"/>
      <c r="E541" s="4" t="n"/>
    </row>
    <row r="542" ht="15.75" customHeight="1">
      <c r="C542" s="4" t="n"/>
      <c r="D542" s="4" t="n"/>
      <c r="E542" s="4" t="n"/>
    </row>
    <row r="543" ht="15.75" customHeight="1">
      <c r="C543" s="4" t="n"/>
      <c r="D543" s="4" t="n"/>
      <c r="E543" s="4" t="n"/>
    </row>
    <row r="544" ht="15.75" customHeight="1">
      <c r="C544" s="4" t="n"/>
      <c r="D544" s="4" t="n"/>
      <c r="E544" s="4" t="n"/>
    </row>
    <row r="545" ht="15.75" customHeight="1">
      <c r="C545" s="4" t="n"/>
      <c r="D545" s="4" t="n"/>
      <c r="E545" s="4" t="n"/>
    </row>
    <row r="546" ht="15.75" customHeight="1">
      <c r="C546" s="4" t="n"/>
      <c r="D546" s="4" t="n"/>
      <c r="E546" s="4" t="n"/>
    </row>
    <row r="547" ht="15.75" customHeight="1">
      <c r="C547" s="4" t="n"/>
      <c r="D547" s="4" t="n"/>
      <c r="E547" s="4" t="n"/>
    </row>
    <row r="548" ht="15.75" customHeight="1">
      <c r="C548" s="4" t="n"/>
      <c r="D548" s="4" t="n"/>
      <c r="E548" s="4" t="n"/>
    </row>
    <row r="549" ht="15.75" customHeight="1">
      <c r="C549" s="4" t="n"/>
      <c r="D549" s="4" t="n"/>
      <c r="E549" s="4" t="n"/>
    </row>
    <row r="550" ht="15.75" customHeight="1">
      <c r="C550" s="4" t="n"/>
      <c r="D550" s="4" t="n"/>
      <c r="E550" s="4" t="n"/>
    </row>
    <row r="551" ht="15.75" customHeight="1">
      <c r="C551" s="4" t="n"/>
      <c r="D551" s="4" t="n"/>
      <c r="E551" s="4" t="n"/>
    </row>
    <row r="552" ht="15.75" customHeight="1">
      <c r="C552" s="4" t="n"/>
      <c r="D552" s="4" t="n"/>
      <c r="E552" s="4" t="n"/>
    </row>
    <row r="553" ht="15.75" customHeight="1">
      <c r="C553" s="4" t="n"/>
      <c r="D553" s="4" t="n"/>
      <c r="E553" s="4" t="n"/>
    </row>
    <row r="554" ht="15.75" customHeight="1">
      <c r="C554" s="4" t="n"/>
      <c r="D554" s="4" t="n"/>
      <c r="E554" s="4" t="n"/>
    </row>
    <row r="555" ht="15.75" customHeight="1">
      <c r="C555" s="4" t="n"/>
      <c r="D555" s="4" t="n"/>
      <c r="E555" s="4" t="n"/>
    </row>
    <row r="556" ht="15.75" customHeight="1">
      <c r="C556" s="4" t="n"/>
      <c r="D556" s="4" t="n"/>
      <c r="E556" s="4" t="n"/>
    </row>
    <row r="557" ht="15.75" customHeight="1">
      <c r="C557" s="4" t="n"/>
      <c r="D557" s="4" t="n"/>
      <c r="E557" s="4" t="n"/>
    </row>
    <row r="558" ht="15.75" customHeight="1">
      <c r="C558" s="4" t="n"/>
      <c r="D558" s="4" t="n"/>
      <c r="E558" s="4" t="n"/>
    </row>
    <row r="559" ht="15.75" customHeight="1">
      <c r="C559" s="4" t="n"/>
      <c r="D559" s="4" t="n"/>
      <c r="E559" s="4" t="n"/>
    </row>
    <row r="560" ht="15.75" customHeight="1">
      <c r="C560" s="4" t="n"/>
      <c r="D560" s="4" t="n"/>
      <c r="E560" s="4" t="n"/>
    </row>
    <row r="561" ht="15.75" customHeight="1">
      <c r="C561" s="4" t="n"/>
      <c r="D561" s="4" t="n"/>
      <c r="E561" s="4" t="n"/>
    </row>
    <row r="562" ht="15.75" customHeight="1">
      <c r="C562" s="4" t="n"/>
      <c r="D562" s="4" t="n"/>
      <c r="E562" s="4" t="n"/>
    </row>
    <row r="563" ht="15.75" customHeight="1">
      <c r="C563" s="4" t="n"/>
      <c r="D563" s="4" t="n"/>
      <c r="E563" s="4" t="n"/>
    </row>
    <row r="564" ht="15.75" customHeight="1">
      <c r="C564" s="4" t="n"/>
      <c r="D564" s="4" t="n"/>
      <c r="E564" s="4" t="n"/>
    </row>
    <row r="565" ht="15.75" customHeight="1">
      <c r="C565" s="4" t="n"/>
      <c r="D565" s="4" t="n"/>
      <c r="E565" s="4" t="n"/>
    </row>
    <row r="566" ht="15.75" customHeight="1">
      <c r="C566" s="4" t="n"/>
      <c r="D566" s="4" t="n"/>
      <c r="E566" s="4" t="n"/>
    </row>
    <row r="567" ht="15.75" customHeight="1">
      <c r="C567" s="4" t="n"/>
      <c r="D567" s="4" t="n"/>
      <c r="E567" s="4" t="n"/>
    </row>
    <row r="568" ht="15.75" customHeight="1">
      <c r="C568" s="4" t="n"/>
      <c r="D568" s="4" t="n"/>
      <c r="E568" s="4" t="n"/>
    </row>
    <row r="569" ht="15.75" customHeight="1">
      <c r="C569" s="4" t="n"/>
      <c r="D569" s="4" t="n"/>
      <c r="E569" s="4" t="n"/>
    </row>
    <row r="570" ht="15.75" customHeight="1">
      <c r="C570" s="4" t="n"/>
      <c r="D570" s="4" t="n"/>
      <c r="E570" s="4" t="n"/>
    </row>
    <row r="571" ht="15.75" customHeight="1">
      <c r="C571" s="4" t="n"/>
      <c r="D571" s="4" t="n"/>
      <c r="E571" s="4" t="n"/>
    </row>
    <row r="572" ht="15.75" customHeight="1">
      <c r="C572" s="4" t="n"/>
      <c r="D572" s="4" t="n"/>
      <c r="E572" s="4" t="n"/>
    </row>
    <row r="573" ht="15.75" customHeight="1">
      <c r="C573" s="4" t="n"/>
      <c r="D573" s="4" t="n"/>
      <c r="E573" s="4" t="n"/>
    </row>
    <row r="574" ht="15.75" customHeight="1">
      <c r="C574" s="4" t="n"/>
      <c r="D574" s="4" t="n"/>
      <c r="E574" s="4" t="n"/>
    </row>
    <row r="575" ht="15.75" customHeight="1">
      <c r="C575" s="4" t="n"/>
      <c r="D575" s="4" t="n"/>
      <c r="E575" s="4" t="n"/>
    </row>
    <row r="576" ht="15.75" customHeight="1">
      <c r="C576" s="4" t="n"/>
      <c r="D576" s="4" t="n"/>
      <c r="E576" s="4" t="n"/>
    </row>
    <row r="577" ht="15.75" customHeight="1">
      <c r="C577" s="4" t="n"/>
      <c r="D577" s="4" t="n"/>
      <c r="E577" s="4" t="n"/>
    </row>
    <row r="578" ht="15.75" customHeight="1">
      <c r="C578" s="4" t="n"/>
      <c r="D578" s="4" t="n"/>
      <c r="E578" s="4" t="n"/>
    </row>
    <row r="579" ht="15.75" customHeight="1">
      <c r="C579" s="4" t="n"/>
      <c r="D579" s="4" t="n"/>
      <c r="E579" s="4" t="n"/>
    </row>
    <row r="580" ht="15.75" customHeight="1">
      <c r="C580" s="4" t="n"/>
      <c r="D580" s="4" t="n"/>
      <c r="E580" s="4" t="n"/>
    </row>
    <row r="581" ht="15.75" customHeight="1">
      <c r="C581" s="4" t="n"/>
      <c r="D581" s="4" t="n"/>
      <c r="E581" s="4" t="n"/>
    </row>
    <row r="582" ht="15.75" customHeight="1">
      <c r="C582" s="4" t="n"/>
      <c r="D582" s="4" t="n"/>
      <c r="E582" s="4" t="n"/>
    </row>
    <row r="583" ht="15.75" customHeight="1">
      <c r="C583" s="4" t="n"/>
      <c r="D583" s="4" t="n"/>
      <c r="E583" s="4" t="n"/>
    </row>
    <row r="584" ht="15.75" customHeight="1">
      <c r="C584" s="4" t="n"/>
      <c r="D584" s="4" t="n"/>
      <c r="E584" s="4" t="n"/>
    </row>
    <row r="585" ht="15.75" customHeight="1">
      <c r="C585" s="4" t="n"/>
      <c r="D585" s="4" t="n"/>
      <c r="E585" s="4" t="n"/>
    </row>
    <row r="586" ht="15.75" customHeight="1">
      <c r="C586" s="4" t="n"/>
      <c r="D586" s="4" t="n"/>
      <c r="E586" s="4" t="n"/>
    </row>
    <row r="587" ht="15.75" customHeight="1">
      <c r="C587" s="4" t="n"/>
      <c r="D587" s="4" t="n"/>
      <c r="E587" s="4" t="n"/>
    </row>
    <row r="588" ht="15.75" customHeight="1">
      <c r="C588" s="4" t="n"/>
      <c r="D588" s="4" t="n"/>
      <c r="E588" s="4" t="n"/>
    </row>
    <row r="589" ht="15.75" customHeight="1">
      <c r="C589" s="4" t="n"/>
      <c r="D589" s="4" t="n"/>
      <c r="E589" s="4" t="n"/>
    </row>
    <row r="590" ht="15.75" customHeight="1">
      <c r="C590" s="4" t="n"/>
      <c r="D590" s="4" t="n"/>
      <c r="E590" s="4" t="n"/>
    </row>
    <row r="591" ht="15.75" customHeight="1">
      <c r="C591" s="4" t="n"/>
      <c r="D591" s="4" t="n"/>
      <c r="E591" s="4" t="n"/>
    </row>
    <row r="592" ht="15.75" customHeight="1">
      <c r="C592" s="4" t="n"/>
      <c r="D592" s="4" t="n"/>
      <c r="E592" s="4" t="n"/>
    </row>
    <row r="593" ht="15.75" customHeight="1">
      <c r="C593" s="4" t="n"/>
      <c r="D593" s="4" t="n"/>
      <c r="E593" s="4" t="n"/>
    </row>
    <row r="594" ht="15.75" customHeight="1">
      <c r="C594" s="4" t="n"/>
      <c r="D594" s="4" t="n"/>
      <c r="E594" s="4" t="n"/>
    </row>
    <row r="595" ht="15.75" customHeight="1">
      <c r="C595" s="4" t="n"/>
      <c r="D595" s="4" t="n"/>
      <c r="E595" s="4" t="n"/>
    </row>
    <row r="596" ht="15.75" customHeight="1">
      <c r="C596" s="4" t="n"/>
      <c r="D596" s="4" t="n"/>
      <c r="E596" s="4" t="n"/>
    </row>
    <row r="597" ht="15.75" customHeight="1">
      <c r="C597" s="4" t="n"/>
      <c r="D597" s="4" t="n"/>
      <c r="E597" s="4" t="n"/>
    </row>
    <row r="598" ht="15.75" customHeight="1">
      <c r="C598" s="4" t="n"/>
      <c r="D598" s="4" t="n"/>
      <c r="E598" s="4" t="n"/>
    </row>
    <row r="599" ht="15.75" customHeight="1">
      <c r="C599" s="4" t="n"/>
      <c r="D599" s="4" t="n"/>
      <c r="E599" s="4" t="n"/>
    </row>
    <row r="600" ht="15.75" customHeight="1">
      <c r="C600" s="4" t="n"/>
      <c r="D600" s="4" t="n"/>
      <c r="E600" s="4" t="n"/>
    </row>
    <row r="601" ht="15.75" customHeight="1">
      <c r="C601" s="4" t="n"/>
      <c r="D601" s="4" t="n"/>
      <c r="E601" s="4" t="n"/>
    </row>
    <row r="602" ht="15.75" customHeight="1">
      <c r="C602" s="4" t="n"/>
      <c r="D602" s="4" t="n"/>
      <c r="E602" s="4" t="n"/>
    </row>
    <row r="603" ht="15.75" customHeight="1">
      <c r="C603" s="4" t="n"/>
      <c r="D603" s="4" t="n"/>
      <c r="E603" s="4" t="n"/>
    </row>
    <row r="604" ht="15.75" customHeight="1">
      <c r="C604" s="4" t="n"/>
      <c r="D604" s="4" t="n"/>
      <c r="E604" s="4" t="n"/>
    </row>
    <row r="605" ht="15.75" customHeight="1">
      <c r="C605" s="4" t="n"/>
      <c r="D605" s="4" t="n"/>
      <c r="E605" s="4" t="n"/>
    </row>
    <row r="606" ht="15.75" customHeight="1">
      <c r="C606" s="4" t="n"/>
      <c r="D606" s="4" t="n"/>
      <c r="E606" s="4" t="n"/>
    </row>
    <row r="607" ht="15.75" customHeight="1">
      <c r="C607" s="4" t="n"/>
      <c r="D607" s="4" t="n"/>
      <c r="E607" s="4" t="n"/>
    </row>
    <row r="608" ht="15.75" customHeight="1">
      <c r="C608" s="4" t="n"/>
      <c r="D608" s="4" t="n"/>
      <c r="E608" s="4" t="n"/>
    </row>
    <row r="609" ht="15.75" customHeight="1">
      <c r="C609" s="4" t="n"/>
      <c r="D609" s="4" t="n"/>
      <c r="E609" s="4" t="n"/>
    </row>
    <row r="610" ht="15.75" customHeight="1">
      <c r="C610" s="4" t="n"/>
      <c r="D610" s="4" t="n"/>
      <c r="E610" s="4" t="n"/>
    </row>
    <row r="611" ht="15.75" customHeight="1">
      <c r="C611" s="4" t="n"/>
      <c r="D611" s="4" t="n"/>
      <c r="E611" s="4" t="n"/>
    </row>
    <row r="612" ht="15.75" customHeight="1">
      <c r="C612" s="4" t="n"/>
      <c r="D612" s="4" t="n"/>
      <c r="E612" s="4" t="n"/>
    </row>
    <row r="613" ht="15.75" customHeight="1">
      <c r="C613" s="4" t="n"/>
      <c r="D613" s="4" t="n"/>
      <c r="E613" s="4" t="n"/>
    </row>
    <row r="614" ht="15.75" customHeight="1">
      <c r="C614" s="4" t="n"/>
      <c r="D614" s="4" t="n"/>
      <c r="E614" s="4" t="n"/>
    </row>
    <row r="615" ht="15.75" customHeight="1">
      <c r="C615" s="4" t="n"/>
      <c r="D615" s="4" t="n"/>
      <c r="E615" s="4" t="n"/>
    </row>
    <row r="616" ht="15.75" customHeight="1">
      <c r="C616" s="4" t="n"/>
      <c r="D616" s="4" t="n"/>
      <c r="E616" s="4" t="n"/>
    </row>
    <row r="617" ht="15.75" customHeight="1">
      <c r="C617" s="4" t="n"/>
      <c r="D617" s="4" t="n"/>
      <c r="E617" s="4" t="n"/>
    </row>
    <row r="618" ht="15.75" customHeight="1">
      <c r="C618" s="4" t="n"/>
      <c r="D618" s="4" t="n"/>
      <c r="E618" s="4" t="n"/>
    </row>
    <row r="619" ht="15.75" customHeight="1">
      <c r="C619" s="4" t="n"/>
      <c r="D619" s="4" t="n"/>
      <c r="E619" s="4" t="n"/>
    </row>
    <row r="620" ht="15.75" customHeight="1">
      <c r="C620" s="4" t="n"/>
      <c r="D620" s="4" t="n"/>
      <c r="E620" s="4" t="n"/>
    </row>
    <row r="621" ht="15.75" customHeight="1">
      <c r="C621" s="4" t="n"/>
      <c r="D621" s="4" t="n"/>
      <c r="E621" s="4" t="n"/>
    </row>
    <row r="622" ht="15.75" customHeight="1">
      <c r="C622" s="4" t="n"/>
      <c r="D622" s="4" t="n"/>
      <c r="E622" s="4" t="n"/>
    </row>
    <row r="623" ht="15.75" customHeight="1">
      <c r="C623" s="4" t="n"/>
      <c r="D623" s="4" t="n"/>
      <c r="E623" s="4" t="n"/>
    </row>
    <row r="624" ht="15.75" customHeight="1">
      <c r="C624" s="4" t="n"/>
      <c r="D624" s="4" t="n"/>
      <c r="E624" s="4" t="n"/>
    </row>
    <row r="625" ht="15.75" customHeight="1">
      <c r="C625" s="4" t="n"/>
      <c r="D625" s="4" t="n"/>
      <c r="E625" s="4" t="n"/>
    </row>
    <row r="626" ht="15.75" customHeight="1">
      <c r="C626" s="4" t="n"/>
      <c r="D626" s="4" t="n"/>
      <c r="E626" s="4" t="n"/>
    </row>
    <row r="627" ht="15.75" customHeight="1">
      <c r="C627" s="4" t="n"/>
      <c r="D627" s="4" t="n"/>
      <c r="E627" s="4" t="n"/>
    </row>
    <row r="628" ht="15.75" customHeight="1">
      <c r="C628" s="4" t="n"/>
      <c r="D628" s="4" t="n"/>
      <c r="E628" s="4" t="n"/>
    </row>
    <row r="629" ht="15.75" customHeight="1">
      <c r="C629" s="4" t="n"/>
      <c r="D629" s="4" t="n"/>
      <c r="E629" s="4" t="n"/>
    </row>
    <row r="630" ht="15.75" customHeight="1">
      <c r="C630" s="4" t="n"/>
      <c r="D630" s="4" t="n"/>
      <c r="E630" s="4" t="n"/>
    </row>
    <row r="631" ht="15.75" customHeight="1">
      <c r="C631" s="4" t="n"/>
      <c r="D631" s="4" t="n"/>
      <c r="E631" s="4" t="n"/>
    </row>
    <row r="632" ht="15.75" customHeight="1">
      <c r="C632" s="4" t="n"/>
      <c r="D632" s="4" t="n"/>
      <c r="E632" s="4" t="n"/>
    </row>
    <row r="633" ht="15.75" customHeight="1">
      <c r="C633" s="4" t="n"/>
      <c r="D633" s="4" t="n"/>
      <c r="E633" s="4" t="n"/>
    </row>
    <row r="634" ht="15.75" customHeight="1">
      <c r="C634" s="4" t="n"/>
      <c r="D634" s="4" t="n"/>
      <c r="E634" s="4" t="n"/>
    </row>
    <row r="635" ht="15.75" customHeight="1">
      <c r="C635" s="4" t="n"/>
      <c r="D635" s="4" t="n"/>
      <c r="E635" s="4" t="n"/>
    </row>
    <row r="636" ht="15.75" customHeight="1">
      <c r="C636" s="4" t="n"/>
      <c r="D636" s="4" t="n"/>
      <c r="E636" s="4" t="n"/>
    </row>
    <row r="637" ht="15.75" customHeight="1">
      <c r="C637" s="4" t="n"/>
      <c r="D637" s="4" t="n"/>
      <c r="E637" s="4" t="n"/>
    </row>
    <row r="638" ht="15.75" customHeight="1">
      <c r="C638" s="4" t="n"/>
      <c r="D638" s="4" t="n"/>
      <c r="E638" s="4" t="n"/>
    </row>
    <row r="639" ht="15.75" customHeight="1">
      <c r="C639" s="4" t="n"/>
      <c r="D639" s="4" t="n"/>
      <c r="E639" s="4" t="n"/>
    </row>
    <row r="640" ht="15.75" customHeight="1">
      <c r="C640" s="4" t="n"/>
      <c r="D640" s="4" t="n"/>
      <c r="E640" s="4" t="n"/>
    </row>
    <row r="641" ht="15.75" customHeight="1">
      <c r="C641" s="4" t="n"/>
      <c r="D641" s="4" t="n"/>
      <c r="E641" s="4" t="n"/>
    </row>
    <row r="642" ht="15.75" customHeight="1">
      <c r="C642" s="4" t="n"/>
      <c r="D642" s="4" t="n"/>
      <c r="E642" s="4" t="n"/>
    </row>
    <row r="643" ht="15.75" customHeight="1">
      <c r="C643" s="4" t="n"/>
      <c r="D643" s="4" t="n"/>
      <c r="E643" s="4" t="n"/>
    </row>
    <row r="644" ht="15.75" customHeight="1">
      <c r="C644" s="4" t="n"/>
      <c r="D644" s="4" t="n"/>
      <c r="E644" s="4" t="n"/>
    </row>
    <row r="645" ht="15.75" customHeight="1">
      <c r="C645" s="4" t="n"/>
      <c r="D645" s="4" t="n"/>
      <c r="E645" s="4" t="n"/>
    </row>
    <row r="646" ht="15.75" customHeight="1">
      <c r="C646" s="4" t="n"/>
      <c r="D646" s="4" t="n"/>
      <c r="E646" s="4" t="n"/>
    </row>
    <row r="647" ht="15.75" customHeight="1">
      <c r="C647" s="4" t="n"/>
      <c r="D647" s="4" t="n"/>
      <c r="E647" s="4" t="n"/>
    </row>
    <row r="648" ht="15.75" customHeight="1">
      <c r="C648" s="4" t="n"/>
      <c r="D648" s="4" t="n"/>
      <c r="E648" s="4" t="n"/>
    </row>
    <row r="649" ht="15.75" customHeight="1">
      <c r="C649" s="4" t="n"/>
      <c r="D649" s="4" t="n"/>
      <c r="E649" s="4" t="n"/>
    </row>
    <row r="650" ht="15.75" customHeight="1">
      <c r="C650" s="4" t="n"/>
      <c r="D650" s="4" t="n"/>
      <c r="E650" s="4" t="n"/>
    </row>
    <row r="651" ht="15.75" customHeight="1">
      <c r="C651" s="4" t="n"/>
      <c r="D651" s="4" t="n"/>
      <c r="E651" s="4" t="n"/>
    </row>
    <row r="652" ht="15.75" customHeight="1">
      <c r="C652" s="4" t="n"/>
      <c r="D652" s="4" t="n"/>
      <c r="E652" s="4" t="n"/>
    </row>
    <row r="653" ht="15.75" customHeight="1">
      <c r="C653" s="4" t="n"/>
      <c r="D653" s="4" t="n"/>
      <c r="E653" s="4" t="n"/>
    </row>
    <row r="654" ht="15.75" customHeight="1">
      <c r="C654" s="4" t="n"/>
      <c r="D654" s="4" t="n"/>
      <c r="E654" s="4" t="n"/>
    </row>
    <row r="655" ht="15.75" customHeight="1">
      <c r="C655" s="4" t="n"/>
      <c r="D655" s="4" t="n"/>
      <c r="E655" s="4" t="n"/>
    </row>
    <row r="656" ht="15.75" customHeight="1">
      <c r="C656" s="4" t="n"/>
      <c r="D656" s="4" t="n"/>
      <c r="E656" s="4" t="n"/>
    </row>
    <row r="657" ht="15.75" customHeight="1">
      <c r="C657" s="4" t="n"/>
      <c r="D657" s="4" t="n"/>
      <c r="E657" s="4" t="n"/>
    </row>
    <row r="658" ht="15.75" customHeight="1">
      <c r="C658" s="4" t="n"/>
      <c r="D658" s="4" t="n"/>
      <c r="E658" s="4" t="n"/>
    </row>
    <row r="659" ht="15.75" customHeight="1">
      <c r="C659" s="4" t="n"/>
      <c r="D659" s="4" t="n"/>
      <c r="E659" s="4" t="n"/>
    </row>
    <row r="660" ht="15.75" customHeight="1">
      <c r="C660" s="4" t="n"/>
      <c r="D660" s="4" t="n"/>
      <c r="E660" s="4" t="n"/>
    </row>
    <row r="661" ht="15.75" customHeight="1">
      <c r="C661" s="4" t="n"/>
      <c r="D661" s="4" t="n"/>
      <c r="E661" s="4" t="n"/>
    </row>
    <row r="662" ht="15.75" customHeight="1">
      <c r="C662" s="4" t="n"/>
      <c r="D662" s="4" t="n"/>
      <c r="E662" s="4" t="n"/>
    </row>
    <row r="663" ht="15.75" customHeight="1">
      <c r="C663" s="4" t="n"/>
      <c r="D663" s="4" t="n"/>
      <c r="E663" s="4" t="n"/>
    </row>
    <row r="664" ht="15.75" customHeight="1">
      <c r="C664" s="4" t="n"/>
      <c r="D664" s="4" t="n"/>
      <c r="E664" s="4" t="n"/>
    </row>
    <row r="665" ht="15.75" customHeight="1">
      <c r="C665" s="4" t="n"/>
      <c r="D665" s="4" t="n"/>
      <c r="E665" s="4" t="n"/>
    </row>
    <row r="666" ht="15.75" customHeight="1">
      <c r="C666" s="4" t="n"/>
      <c r="D666" s="4" t="n"/>
      <c r="E666" s="4" t="n"/>
    </row>
    <row r="667" ht="15.75" customHeight="1">
      <c r="C667" s="4" t="n"/>
      <c r="D667" s="4" t="n"/>
      <c r="E667" s="4" t="n"/>
    </row>
    <row r="668" ht="15.75" customHeight="1">
      <c r="C668" s="4" t="n"/>
      <c r="D668" s="4" t="n"/>
      <c r="E668" s="4" t="n"/>
    </row>
    <row r="669" ht="15.75" customHeight="1">
      <c r="C669" s="4" t="n"/>
      <c r="D669" s="4" t="n"/>
      <c r="E669" s="4" t="n"/>
    </row>
    <row r="670" ht="15.75" customHeight="1">
      <c r="C670" s="4" t="n"/>
      <c r="D670" s="4" t="n"/>
      <c r="E670" s="4" t="n"/>
    </row>
    <row r="671" ht="15.75" customHeight="1">
      <c r="C671" s="4" t="n"/>
      <c r="D671" s="4" t="n"/>
      <c r="E671" s="4" t="n"/>
    </row>
    <row r="672" ht="15.75" customHeight="1">
      <c r="C672" s="4" t="n"/>
      <c r="D672" s="4" t="n"/>
      <c r="E672" s="4" t="n"/>
    </row>
    <row r="673" ht="15.75" customHeight="1">
      <c r="C673" s="4" t="n"/>
      <c r="D673" s="4" t="n"/>
      <c r="E673" s="4" t="n"/>
    </row>
    <row r="674" ht="15.75" customHeight="1">
      <c r="C674" s="4" t="n"/>
      <c r="D674" s="4" t="n"/>
      <c r="E674" s="4" t="n"/>
    </row>
    <row r="675" ht="15.75" customHeight="1">
      <c r="C675" s="4" t="n"/>
      <c r="D675" s="4" t="n"/>
      <c r="E675" s="4" t="n"/>
    </row>
    <row r="676" ht="15.75" customHeight="1">
      <c r="C676" s="4" t="n"/>
      <c r="D676" s="4" t="n"/>
      <c r="E676" s="4" t="n"/>
    </row>
    <row r="677" ht="15.75" customHeight="1">
      <c r="C677" s="4" t="n"/>
      <c r="D677" s="4" t="n"/>
      <c r="E677" s="4" t="n"/>
    </row>
    <row r="678" ht="15.75" customHeight="1">
      <c r="C678" s="4" t="n"/>
      <c r="D678" s="4" t="n"/>
      <c r="E678" s="4" t="n"/>
    </row>
    <row r="679" ht="15.75" customHeight="1">
      <c r="C679" s="4" t="n"/>
      <c r="D679" s="4" t="n"/>
      <c r="E679" s="4" t="n"/>
    </row>
    <row r="680" ht="15.75" customHeight="1">
      <c r="C680" s="4" t="n"/>
      <c r="D680" s="4" t="n"/>
      <c r="E680" s="4" t="n"/>
    </row>
    <row r="681" ht="15.75" customHeight="1">
      <c r="C681" s="4" t="n"/>
      <c r="D681" s="4" t="n"/>
      <c r="E681" s="4" t="n"/>
    </row>
    <row r="682" ht="15.75" customHeight="1">
      <c r="C682" s="4" t="n"/>
      <c r="D682" s="4" t="n"/>
      <c r="E682" s="4" t="n"/>
    </row>
    <row r="683" ht="15.75" customHeight="1">
      <c r="C683" s="4" t="n"/>
      <c r="D683" s="4" t="n"/>
      <c r="E683" s="4" t="n"/>
    </row>
    <row r="684" ht="15.75" customHeight="1">
      <c r="C684" s="4" t="n"/>
      <c r="D684" s="4" t="n"/>
      <c r="E684" s="4" t="n"/>
    </row>
    <row r="685" ht="15.75" customHeight="1">
      <c r="C685" s="4" t="n"/>
      <c r="D685" s="4" t="n"/>
      <c r="E685" s="4" t="n"/>
    </row>
    <row r="686" ht="15.75" customHeight="1">
      <c r="C686" s="4" t="n"/>
      <c r="D686" s="4" t="n"/>
      <c r="E686" s="4" t="n"/>
    </row>
    <row r="687" ht="15.75" customHeight="1">
      <c r="C687" s="4" t="n"/>
      <c r="D687" s="4" t="n"/>
      <c r="E687" s="4" t="n"/>
    </row>
    <row r="688" ht="15.75" customHeight="1">
      <c r="C688" s="4" t="n"/>
      <c r="D688" s="4" t="n"/>
      <c r="E688" s="4" t="n"/>
    </row>
    <row r="689" ht="15.75" customHeight="1">
      <c r="C689" s="4" t="n"/>
      <c r="D689" s="4" t="n"/>
      <c r="E689" s="4" t="n"/>
    </row>
    <row r="690" ht="15.75" customHeight="1">
      <c r="C690" s="4" t="n"/>
      <c r="D690" s="4" t="n"/>
      <c r="E690" s="4" t="n"/>
    </row>
    <row r="691" ht="15.75" customHeight="1">
      <c r="C691" s="4" t="n"/>
      <c r="D691" s="4" t="n"/>
      <c r="E691" s="4" t="n"/>
    </row>
    <row r="692" ht="15.75" customHeight="1">
      <c r="C692" s="4" t="n"/>
      <c r="D692" s="4" t="n"/>
      <c r="E692" s="4" t="n"/>
    </row>
    <row r="693" ht="15.75" customHeight="1">
      <c r="C693" s="4" t="n"/>
      <c r="D693" s="4" t="n"/>
      <c r="E693" s="4" t="n"/>
    </row>
    <row r="694" ht="15.75" customHeight="1">
      <c r="C694" s="4" t="n"/>
      <c r="D694" s="4" t="n"/>
      <c r="E694" s="4" t="n"/>
    </row>
    <row r="695" ht="15.75" customHeight="1">
      <c r="C695" s="4" t="n"/>
      <c r="D695" s="4" t="n"/>
      <c r="E695" s="4" t="n"/>
    </row>
    <row r="696" ht="15.75" customHeight="1">
      <c r="C696" s="4" t="n"/>
      <c r="D696" s="4" t="n"/>
      <c r="E696" s="4" t="n"/>
    </row>
    <row r="697" ht="15.75" customHeight="1">
      <c r="C697" s="4" t="n"/>
      <c r="D697" s="4" t="n"/>
      <c r="E697" s="4" t="n"/>
    </row>
    <row r="698" ht="15.75" customHeight="1">
      <c r="C698" s="4" t="n"/>
      <c r="D698" s="4" t="n"/>
      <c r="E698" s="4" t="n"/>
    </row>
    <row r="699" ht="15.75" customHeight="1">
      <c r="C699" s="4" t="n"/>
      <c r="D699" s="4" t="n"/>
      <c r="E699" s="4" t="n"/>
    </row>
    <row r="700" ht="15.75" customHeight="1">
      <c r="C700" s="4" t="n"/>
      <c r="D700" s="4" t="n"/>
      <c r="E700" s="4" t="n"/>
    </row>
    <row r="701" ht="15.75" customHeight="1">
      <c r="C701" s="4" t="n"/>
      <c r="D701" s="4" t="n"/>
      <c r="E701" s="4" t="n"/>
    </row>
    <row r="702" ht="15.75" customHeight="1">
      <c r="C702" s="4" t="n"/>
      <c r="D702" s="4" t="n"/>
      <c r="E702" s="4" t="n"/>
    </row>
    <row r="703" ht="15.75" customHeight="1">
      <c r="C703" s="4" t="n"/>
      <c r="D703" s="4" t="n"/>
      <c r="E703" s="4" t="n"/>
    </row>
    <row r="704" ht="15.75" customHeight="1">
      <c r="C704" s="4" t="n"/>
      <c r="D704" s="4" t="n"/>
      <c r="E704" s="4" t="n"/>
    </row>
    <row r="705" ht="15.75" customHeight="1">
      <c r="C705" s="4" t="n"/>
      <c r="D705" s="4" t="n"/>
      <c r="E705" s="4" t="n"/>
    </row>
    <row r="706" ht="15.75" customHeight="1">
      <c r="C706" s="4" t="n"/>
      <c r="D706" s="4" t="n"/>
      <c r="E706" s="4" t="n"/>
    </row>
    <row r="707" ht="15.75" customHeight="1">
      <c r="C707" s="4" t="n"/>
      <c r="D707" s="4" t="n"/>
      <c r="E707" s="4" t="n"/>
    </row>
    <row r="708" ht="15.75" customHeight="1">
      <c r="C708" s="4" t="n"/>
      <c r="D708" s="4" t="n"/>
      <c r="E708" s="4" t="n"/>
    </row>
    <row r="709" ht="15.75" customHeight="1">
      <c r="C709" s="4" t="n"/>
      <c r="D709" s="4" t="n"/>
      <c r="E709" s="4" t="n"/>
    </row>
    <row r="710" ht="15.75" customHeight="1">
      <c r="C710" s="4" t="n"/>
      <c r="D710" s="4" t="n"/>
      <c r="E710" s="4" t="n"/>
    </row>
    <row r="711" ht="15.75" customHeight="1">
      <c r="C711" s="4" t="n"/>
      <c r="D711" s="4" t="n"/>
      <c r="E711" s="4" t="n"/>
    </row>
    <row r="712" ht="15.75" customHeight="1">
      <c r="C712" s="4" t="n"/>
      <c r="D712" s="4" t="n"/>
      <c r="E712" s="4" t="n"/>
    </row>
    <row r="713" ht="15.75" customHeight="1">
      <c r="C713" s="4" t="n"/>
      <c r="D713" s="4" t="n"/>
      <c r="E713" s="4" t="n"/>
    </row>
    <row r="714" ht="15.75" customHeight="1">
      <c r="C714" s="4" t="n"/>
      <c r="D714" s="4" t="n"/>
      <c r="E714" s="4" t="n"/>
    </row>
    <row r="715" ht="15.75" customHeight="1">
      <c r="C715" s="4" t="n"/>
      <c r="D715" s="4" t="n"/>
      <c r="E715" s="4" t="n"/>
    </row>
    <row r="716" ht="15.75" customHeight="1">
      <c r="C716" s="4" t="n"/>
      <c r="D716" s="4" t="n"/>
      <c r="E716" s="4" t="n"/>
    </row>
    <row r="717" ht="15.75" customHeight="1">
      <c r="C717" s="4" t="n"/>
      <c r="D717" s="4" t="n"/>
      <c r="E717" s="4" t="n"/>
    </row>
    <row r="718" ht="15.75" customHeight="1">
      <c r="C718" s="4" t="n"/>
      <c r="D718" s="4" t="n"/>
      <c r="E718" s="4" t="n"/>
    </row>
    <row r="719" ht="15.75" customHeight="1">
      <c r="C719" s="4" t="n"/>
      <c r="D719" s="4" t="n"/>
      <c r="E719" s="4" t="n"/>
    </row>
    <row r="720" ht="15.75" customHeight="1">
      <c r="C720" s="4" t="n"/>
      <c r="D720" s="4" t="n"/>
      <c r="E720" s="4" t="n"/>
    </row>
    <row r="721" ht="15.75" customHeight="1">
      <c r="C721" s="4" t="n"/>
      <c r="D721" s="4" t="n"/>
      <c r="E721" s="4" t="n"/>
    </row>
    <row r="722" ht="15.75" customHeight="1">
      <c r="C722" s="4" t="n"/>
      <c r="D722" s="4" t="n"/>
      <c r="E722" s="4" t="n"/>
    </row>
    <row r="723" ht="15.75" customHeight="1">
      <c r="C723" s="4" t="n"/>
      <c r="D723" s="4" t="n"/>
      <c r="E723" s="4" t="n"/>
    </row>
    <row r="724" ht="15.75" customHeight="1">
      <c r="C724" s="4" t="n"/>
      <c r="D724" s="4" t="n"/>
      <c r="E724" s="4" t="n"/>
    </row>
    <row r="725" ht="15.75" customHeight="1">
      <c r="C725" s="4" t="n"/>
      <c r="D725" s="4" t="n"/>
      <c r="E725" s="4" t="n"/>
    </row>
    <row r="726" ht="15.75" customHeight="1">
      <c r="C726" s="4" t="n"/>
      <c r="D726" s="4" t="n"/>
      <c r="E726" s="4" t="n"/>
    </row>
    <row r="727" ht="15.75" customHeight="1">
      <c r="C727" s="4" t="n"/>
      <c r="D727" s="4" t="n"/>
      <c r="E727" s="4" t="n"/>
    </row>
    <row r="728" ht="15.75" customHeight="1">
      <c r="C728" s="4" t="n"/>
      <c r="D728" s="4" t="n"/>
      <c r="E728" s="4" t="n"/>
    </row>
    <row r="729" ht="15.75" customHeight="1">
      <c r="C729" s="4" t="n"/>
      <c r="D729" s="4" t="n"/>
      <c r="E729" s="4" t="n"/>
    </row>
    <row r="730" ht="15.75" customHeight="1">
      <c r="C730" s="4" t="n"/>
      <c r="D730" s="4" t="n"/>
      <c r="E730" s="4" t="n"/>
    </row>
    <row r="731" ht="15.75" customHeight="1">
      <c r="C731" s="4" t="n"/>
      <c r="D731" s="4" t="n"/>
      <c r="E731" s="4" t="n"/>
    </row>
    <row r="732" ht="15.75" customHeight="1">
      <c r="C732" s="4" t="n"/>
      <c r="D732" s="4" t="n"/>
      <c r="E732" s="4" t="n"/>
    </row>
    <row r="733" ht="15.75" customHeight="1">
      <c r="C733" s="4" t="n"/>
      <c r="D733" s="4" t="n"/>
      <c r="E733" s="4" t="n"/>
    </row>
    <row r="734" ht="15.75" customHeight="1">
      <c r="C734" s="4" t="n"/>
      <c r="D734" s="4" t="n"/>
      <c r="E734" s="4" t="n"/>
    </row>
    <row r="735" ht="15.75" customHeight="1">
      <c r="C735" s="4" t="n"/>
      <c r="D735" s="4" t="n"/>
      <c r="E735" s="4" t="n"/>
    </row>
    <row r="736" ht="15.75" customHeight="1">
      <c r="C736" s="4" t="n"/>
      <c r="D736" s="4" t="n"/>
      <c r="E736" s="4" t="n"/>
    </row>
    <row r="737" ht="15.75" customHeight="1">
      <c r="C737" s="4" t="n"/>
      <c r="D737" s="4" t="n"/>
      <c r="E737" s="4" t="n"/>
    </row>
    <row r="738" ht="15.75" customHeight="1">
      <c r="C738" s="4" t="n"/>
      <c r="D738" s="4" t="n"/>
      <c r="E738" s="4" t="n"/>
    </row>
    <row r="739" ht="15.75" customHeight="1">
      <c r="C739" s="4" t="n"/>
      <c r="D739" s="4" t="n"/>
      <c r="E739" s="4" t="n"/>
    </row>
    <row r="740" ht="15.75" customHeight="1">
      <c r="C740" s="4" t="n"/>
      <c r="D740" s="4" t="n"/>
      <c r="E740" s="4" t="n"/>
    </row>
    <row r="741" ht="15.75" customHeight="1">
      <c r="C741" s="4" t="n"/>
      <c r="D741" s="4" t="n"/>
      <c r="E741" s="4" t="n"/>
    </row>
    <row r="742" ht="15.75" customHeight="1">
      <c r="C742" s="4" t="n"/>
      <c r="D742" s="4" t="n"/>
      <c r="E742" s="4" t="n"/>
    </row>
    <row r="743" ht="15.75" customHeight="1">
      <c r="C743" s="4" t="n"/>
      <c r="D743" s="4" t="n"/>
      <c r="E743" s="4" t="n"/>
    </row>
    <row r="744" ht="15.75" customHeight="1">
      <c r="C744" s="4" t="n"/>
      <c r="D744" s="4" t="n"/>
      <c r="E744" s="4" t="n"/>
    </row>
    <row r="745" ht="15.75" customHeight="1">
      <c r="C745" s="4" t="n"/>
      <c r="D745" s="4" t="n"/>
      <c r="E745" s="4" t="n"/>
    </row>
    <row r="746" ht="15.75" customHeight="1">
      <c r="C746" s="4" t="n"/>
      <c r="D746" s="4" t="n"/>
      <c r="E746" s="4" t="n"/>
    </row>
    <row r="747" ht="15.75" customHeight="1">
      <c r="C747" s="4" t="n"/>
      <c r="D747" s="4" t="n"/>
      <c r="E747" s="4" t="n"/>
    </row>
    <row r="748" ht="15.75" customHeight="1">
      <c r="C748" s="4" t="n"/>
      <c r="D748" s="4" t="n"/>
      <c r="E748" s="4" t="n"/>
    </row>
    <row r="749" ht="15.75" customHeight="1">
      <c r="C749" s="4" t="n"/>
      <c r="D749" s="4" t="n"/>
      <c r="E749" s="4" t="n"/>
    </row>
    <row r="750" ht="15.75" customHeight="1">
      <c r="C750" s="4" t="n"/>
      <c r="D750" s="4" t="n"/>
      <c r="E750" s="4" t="n"/>
    </row>
    <row r="751" ht="15.75" customHeight="1">
      <c r="C751" s="4" t="n"/>
      <c r="D751" s="4" t="n"/>
      <c r="E751" s="4" t="n"/>
    </row>
    <row r="752" ht="15.75" customHeight="1">
      <c r="C752" s="4" t="n"/>
      <c r="D752" s="4" t="n"/>
      <c r="E752" s="4" t="n"/>
    </row>
    <row r="753" ht="15.75" customHeight="1">
      <c r="C753" s="4" t="n"/>
      <c r="D753" s="4" t="n"/>
      <c r="E753" s="4" t="n"/>
    </row>
    <row r="754" ht="15.75" customHeight="1">
      <c r="C754" s="4" t="n"/>
      <c r="D754" s="4" t="n"/>
      <c r="E754" s="4" t="n"/>
    </row>
    <row r="755" ht="15.75" customHeight="1">
      <c r="C755" s="4" t="n"/>
      <c r="D755" s="4" t="n"/>
      <c r="E755" s="4" t="n"/>
    </row>
    <row r="756" ht="15.75" customHeight="1">
      <c r="C756" s="4" t="n"/>
      <c r="D756" s="4" t="n"/>
      <c r="E756" s="4" t="n"/>
    </row>
    <row r="757" ht="15.75" customHeight="1">
      <c r="C757" s="4" t="n"/>
      <c r="D757" s="4" t="n"/>
      <c r="E757" s="4" t="n"/>
    </row>
    <row r="758" ht="15.75" customHeight="1">
      <c r="C758" s="4" t="n"/>
      <c r="D758" s="4" t="n"/>
      <c r="E758" s="4" t="n"/>
    </row>
    <row r="759" ht="15.75" customHeight="1">
      <c r="C759" s="4" t="n"/>
      <c r="D759" s="4" t="n"/>
      <c r="E759" s="4" t="n"/>
    </row>
    <row r="760" ht="15.75" customHeight="1">
      <c r="C760" s="4" t="n"/>
      <c r="D760" s="4" t="n"/>
      <c r="E760" s="4" t="n"/>
    </row>
    <row r="761" ht="15.75" customHeight="1">
      <c r="C761" s="4" t="n"/>
      <c r="D761" s="4" t="n"/>
      <c r="E761" s="4" t="n"/>
    </row>
    <row r="762" ht="15.75" customHeight="1">
      <c r="C762" s="4" t="n"/>
      <c r="D762" s="4" t="n"/>
      <c r="E762" s="4" t="n"/>
    </row>
    <row r="763" ht="15.75" customHeight="1">
      <c r="C763" s="4" t="n"/>
      <c r="D763" s="4" t="n"/>
      <c r="E763" s="4" t="n"/>
    </row>
    <row r="764" ht="15.75" customHeight="1">
      <c r="C764" s="4" t="n"/>
      <c r="D764" s="4" t="n"/>
      <c r="E764" s="4" t="n"/>
    </row>
    <row r="765" ht="15.75" customHeight="1">
      <c r="C765" s="4" t="n"/>
      <c r="D765" s="4" t="n"/>
      <c r="E765" s="4" t="n"/>
    </row>
    <row r="766" ht="15.75" customHeight="1">
      <c r="C766" s="4" t="n"/>
      <c r="D766" s="4" t="n"/>
      <c r="E766" s="4" t="n"/>
    </row>
    <row r="767" ht="15.75" customHeight="1">
      <c r="C767" s="4" t="n"/>
      <c r="D767" s="4" t="n"/>
      <c r="E767" s="4" t="n"/>
    </row>
    <row r="768" ht="15.75" customHeight="1">
      <c r="C768" s="4" t="n"/>
      <c r="D768" s="4" t="n"/>
      <c r="E768" s="4" t="n"/>
    </row>
    <row r="769" ht="15.75" customHeight="1">
      <c r="C769" s="4" t="n"/>
      <c r="D769" s="4" t="n"/>
      <c r="E769" s="4" t="n"/>
    </row>
    <row r="770" ht="15.75" customHeight="1">
      <c r="C770" s="4" t="n"/>
      <c r="D770" s="4" t="n"/>
      <c r="E770" s="4" t="n"/>
    </row>
    <row r="771" ht="15.75" customHeight="1">
      <c r="C771" s="4" t="n"/>
      <c r="D771" s="4" t="n"/>
      <c r="E771" s="4" t="n"/>
    </row>
    <row r="772" ht="15.75" customHeight="1">
      <c r="C772" s="4" t="n"/>
      <c r="D772" s="4" t="n"/>
      <c r="E772" s="4" t="n"/>
    </row>
    <row r="773" ht="15.75" customHeight="1">
      <c r="C773" s="4" t="n"/>
      <c r="D773" s="4" t="n"/>
      <c r="E773" s="4" t="n"/>
    </row>
    <row r="774" ht="15.75" customHeight="1">
      <c r="C774" s="4" t="n"/>
      <c r="D774" s="4" t="n"/>
      <c r="E774" s="4" t="n"/>
    </row>
    <row r="775" ht="15.75" customHeight="1">
      <c r="C775" s="4" t="n"/>
      <c r="D775" s="4" t="n"/>
      <c r="E775" s="4" t="n"/>
    </row>
    <row r="776" ht="15.75" customHeight="1">
      <c r="C776" s="4" t="n"/>
      <c r="D776" s="4" t="n"/>
      <c r="E776" s="4" t="n"/>
    </row>
    <row r="777" ht="15.75" customHeight="1">
      <c r="C777" s="4" t="n"/>
      <c r="D777" s="4" t="n"/>
      <c r="E777" s="4" t="n"/>
    </row>
    <row r="778" ht="15.75" customHeight="1">
      <c r="C778" s="4" t="n"/>
      <c r="D778" s="4" t="n"/>
      <c r="E778" s="4" t="n"/>
    </row>
    <row r="779" ht="15.75" customHeight="1">
      <c r="C779" s="4" t="n"/>
      <c r="D779" s="4" t="n"/>
      <c r="E779" s="4" t="n"/>
    </row>
    <row r="780" ht="15.75" customHeight="1">
      <c r="C780" s="4" t="n"/>
      <c r="D780" s="4" t="n"/>
      <c r="E780" s="4" t="n"/>
    </row>
    <row r="781" ht="15.75" customHeight="1">
      <c r="C781" s="4" t="n"/>
      <c r="D781" s="4" t="n"/>
      <c r="E781" s="4" t="n"/>
    </row>
    <row r="782" ht="15.75" customHeight="1">
      <c r="C782" s="4" t="n"/>
      <c r="D782" s="4" t="n"/>
      <c r="E782" s="4" t="n"/>
    </row>
    <row r="783" ht="15.75" customHeight="1">
      <c r="C783" s="4" t="n"/>
      <c r="D783" s="4" t="n"/>
      <c r="E783" s="4" t="n"/>
    </row>
    <row r="784" ht="15.75" customHeight="1">
      <c r="C784" s="4" t="n"/>
      <c r="D784" s="4" t="n"/>
      <c r="E784" s="4" t="n"/>
    </row>
    <row r="785" ht="15.75" customHeight="1">
      <c r="C785" s="4" t="n"/>
      <c r="D785" s="4" t="n"/>
      <c r="E785" s="4" t="n"/>
    </row>
    <row r="786" ht="15.75" customHeight="1">
      <c r="C786" s="4" t="n"/>
      <c r="D786" s="4" t="n"/>
      <c r="E786" s="4" t="n"/>
    </row>
    <row r="787" ht="15.75" customHeight="1">
      <c r="C787" s="4" t="n"/>
      <c r="D787" s="4" t="n"/>
      <c r="E787" s="4" t="n"/>
    </row>
    <row r="788" ht="15.75" customHeight="1">
      <c r="C788" s="4" t="n"/>
      <c r="D788" s="4" t="n"/>
      <c r="E788" s="4" t="n"/>
    </row>
    <row r="789" ht="15.75" customHeight="1">
      <c r="C789" s="4" t="n"/>
      <c r="D789" s="4" t="n"/>
      <c r="E789" s="4" t="n"/>
    </row>
    <row r="790" ht="15.75" customHeight="1">
      <c r="C790" s="4" t="n"/>
      <c r="D790" s="4" t="n"/>
      <c r="E790" s="4" t="n"/>
    </row>
    <row r="791" ht="15.75" customHeight="1">
      <c r="C791" s="4" t="n"/>
      <c r="D791" s="4" t="n"/>
      <c r="E791" s="4" t="n"/>
    </row>
    <row r="792" ht="15.75" customHeight="1">
      <c r="C792" s="4" t="n"/>
      <c r="D792" s="4" t="n"/>
      <c r="E792" s="4" t="n"/>
    </row>
    <row r="793" ht="15.75" customHeight="1">
      <c r="C793" s="4" t="n"/>
      <c r="D793" s="4" t="n"/>
      <c r="E793" s="4" t="n"/>
    </row>
    <row r="794" ht="15.75" customHeight="1">
      <c r="C794" s="4" t="n"/>
      <c r="D794" s="4" t="n"/>
      <c r="E794" s="4" t="n"/>
    </row>
    <row r="795" ht="15.75" customHeight="1">
      <c r="C795" s="4" t="n"/>
      <c r="D795" s="4" t="n"/>
      <c r="E795" s="4" t="n"/>
    </row>
    <row r="796" ht="15.75" customHeight="1">
      <c r="C796" s="4" t="n"/>
      <c r="D796" s="4" t="n"/>
      <c r="E796" s="4" t="n"/>
    </row>
    <row r="797" ht="15.75" customHeight="1">
      <c r="C797" s="4" t="n"/>
      <c r="D797" s="4" t="n"/>
      <c r="E797" s="4" t="n"/>
    </row>
    <row r="798" ht="15.75" customHeight="1">
      <c r="C798" s="4" t="n"/>
      <c r="D798" s="4" t="n"/>
      <c r="E798" s="4" t="n"/>
    </row>
    <row r="799" ht="15.75" customHeight="1">
      <c r="C799" s="4" t="n"/>
      <c r="D799" s="4" t="n"/>
      <c r="E799" s="4" t="n"/>
    </row>
    <row r="800" ht="15.75" customHeight="1">
      <c r="C800" s="4" t="n"/>
      <c r="D800" s="4" t="n"/>
      <c r="E800" s="4" t="n"/>
    </row>
    <row r="801" ht="15.75" customHeight="1">
      <c r="C801" s="4" t="n"/>
      <c r="D801" s="4" t="n"/>
      <c r="E801" s="4" t="n"/>
    </row>
    <row r="802" ht="15.75" customHeight="1">
      <c r="C802" s="4" t="n"/>
      <c r="D802" s="4" t="n"/>
      <c r="E802" s="4" t="n"/>
    </row>
    <row r="803" ht="15.75" customHeight="1">
      <c r="C803" s="4" t="n"/>
      <c r="D803" s="4" t="n"/>
      <c r="E803" s="4" t="n"/>
    </row>
    <row r="804" ht="15.75" customHeight="1">
      <c r="C804" s="4" t="n"/>
      <c r="D804" s="4" t="n"/>
      <c r="E804" s="4" t="n"/>
    </row>
    <row r="805" ht="15.75" customHeight="1">
      <c r="C805" s="4" t="n"/>
      <c r="D805" s="4" t="n"/>
      <c r="E805" s="4" t="n"/>
    </row>
    <row r="806" ht="15.75" customHeight="1">
      <c r="C806" s="4" t="n"/>
      <c r="D806" s="4" t="n"/>
      <c r="E806" s="4" t="n"/>
    </row>
    <row r="807" ht="15.75" customHeight="1">
      <c r="C807" s="4" t="n"/>
      <c r="D807" s="4" t="n"/>
      <c r="E807" s="4" t="n"/>
    </row>
    <row r="808" ht="15.75" customHeight="1">
      <c r="C808" s="4" t="n"/>
      <c r="D808" s="4" t="n"/>
      <c r="E808" s="4" t="n"/>
    </row>
    <row r="809" ht="15.75" customHeight="1">
      <c r="C809" s="4" t="n"/>
      <c r="D809" s="4" t="n"/>
      <c r="E809" s="4" t="n"/>
    </row>
    <row r="810" ht="15.75" customHeight="1">
      <c r="C810" s="4" t="n"/>
      <c r="D810" s="4" t="n"/>
      <c r="E810" s="4" t="n"/>
    </row>
    <row r="811" ht="15.75" customHeight="1">
      <c r="C811" s="4" t="n"/>
      <c r="D811" s="4" t="n"/>
      <c r="E811" s="4" t="n"/>
    </row>
    <row r="812" ht="15.75" customHeight="1">
      <c r="C812" s="4" t="n"/>
      <c r="D812" s="4" t="n"/>
      <c r="E812" s="4" t="n"/>
    </row>
    <row r="813" ht="15.75" customHeight="1">
      <c r="C813" s="4" t="n"/>
      <c r="D813" s="4" t="n"/>
      <c r="E813" s="4" t="n"/>
    </row>
    <row r="814" ht="15.75" customHeight="1">
      <c r="C814" s="4" t="n"/>
      <c r="D814" s="4" t="n"/>
      <c r="E814" s="4" t="n"/>
    </row>
    <row r="815" ht="15.75" customHeight="1">
      <c r="C815" s="4" t="n"/>
      <c r="D815" s="4" t="n"/>
      <c r="E815" s="4" t="n"/>
    </row>
    <row r="816" ht="15.75" customHeight="1">
      <c r="C816" s="4" t="n"/>
      <c r="D816" s="4" t="n"/>
      <c r="E816" s="4" t="n"/>
    </row>
    <row r="817" ht="15.75" customHeight="1">
      <c r="C817" s="4" t="n"/>
      <c r="D817" s="4" t="n"/>
      <c r="E817" s="4" t="n"/>
    </row>
    <row r="818" ht="15.75" customHeight="1">
      <c r="C818" s="4" t="n"/>
      <c r="D818" s="4" t="n"/>
      <c r="E818" s="4" t="n"/>
    </row>
    <row r="819" ht="15.75" customHeight="1">
      <c r="C819" s="4" t="n"/>
      <c r="D819" s="4" t="n"/>
      <c r="E819" s="4" t="n"/>
    </row>
    <row r="820" ht="15.75" customHeight="1">
      <c r="C820" s="4" t="n"/>
      <c r="D820" s="4" t="n"/>
      <c r="E820" s="4" t="n"/>
    </row>
    <row r="821" ht="15.75" customHeight="1">
      <c r="C821" s="4" t="n"/>
      <c r="D821" s="4" t="n"/>
      <c r="E821" s="4" t="n"/>
    </row>
    <row r="822" ht="15.75" customHeight="1">
      <c r="C822" s="4" t="n"/>
      <c r="D822" s="4" t="n"/>
      <c r="E822" s="4" t="n"/>
    </row>
    <row r="823" ht="15.75" customHeight="1">
      <c r="C823" s="4" t="n"/>
      <c r="D823" s="4" t="n"/>
      <c r="E823" s="4" t="n"/>
    </row>
    <row r="824" ht="15.75" customHeight="1">
      <c r="C824" s="4" t="n"/>
      <c r="D824" s="4" t="n"/>
      <c r="E824" s="4" t="n"/>
    </row>
    <row r="825" ht="15.75" customHeight="1">
      <c r="C825" s="4" t="n"/>
      <c r="D825" s="4" t="n"/>
      <c r="E825" s="4" t="n"/>
    </row>
    <row r="826" ht="15.75" customHeight="1">
      <c r="C826" s="4" t="n"/>
      <c r="D826" s="4" t="n"/>
      <c r="E826" s="4" t="n"/>
    </row>
    <row r="827" ht="15.75" customHeight="1">
      <c r="C827" s="4" t="n"/>
      <c r="D827" s="4" t="n"/>
      <c r="E827" s="4" t="n"/>
    </row>
    <row r="828" ht="15.75" customHeight="1">
      <c r="C828" s="4" t="n"/>
      <c r="D828" s="4" t="n"/>
      <c r="E828" s="4" t="n"/>
    </row>
    <row r="829" ht="15.75" customHeight="1">
      <c r="C829" s="4" t="n"/>
      <c r="D829" s="4" t="n"/>
      <c r="E829" s="4" t="n"/>
    </row>
    <row r="830" ht="15.75" customHeight="1">
      <c r="C830" s="4" t="n"/>
      <c r="D830" s="4" t="n"/>
      <c r="E830" s="4" t="n"/>
    </row>
    <row r="831" ht="15.75" customHeight="1">
      <c r="C831" s="4" t="n"/>
      <c r="D831" s="4" t="n"/>
      <c r="E831" s="4" t="n"/>
    </row>
    <row r="832" ht="15.75" customHeight="1">
      <c r="C832" s="4" t="n"/>
      <c r="D832" s="4" t="n"/>
      <c r="E832" s="4" t="n"/>
    </row>
    <row r="833" ht="15.75" customHeight="1">
      <c r="C833" s="4" t="n"/>
      <c r="D833" s="4" t="n"/>
      <c r="E833" s="4" t="n"/>
    </row>
    <row r="834" ht="15.75" customHeight="1">
      <c r="C834" s="4" t="n"/>
      <c r="D834" s="4" t="n"/>
      <c r="E834" s="4" t="n"/>
    </row>
    <row r="835" ht="15.75" customHeight="1">
      <c r="C835" s="4" t="n"/>
      <c r="D835" s="4" t="n"/>
      <c r="E835" s="4" t="n"/>
    </row>
    <row r="836" ht="15.75" customHeight="1">
      <c r="C836" s="4" t="n"/>
      <c r="D836" s="4" t="n"/>
      <c r="E836" s="4" t="n"/>
    </row>
    <row r="837" ht="15.75" customHeight="1">
      <c r="C837" s="4" t="n"/>
      <c r="D837" s="4" t="n"/>
      <c r="E837" s="4" t="n"/>
    </row>
    <row r="838" ht="15.75" customHeight="1">
      <c r="C838" s="4" t="n"/>
      <c r="D838" s="4" t="n"/>
      <c r="E838" s="4" t="n"/>
    </row>
    <row r="839" ht="15.75" customHeight="1">
      <c r="C839" s="4" t="n"/>
      <c r="D839" s="4" t="n"/>
      <c r="E839" s="4" t="n"/>
    </row>
    <row r="840" ht="15.75" customHeight="1">
      <c r="C840" s="4" t="n"/>
      <c r="D840" s="4" t="n"/>
      <c r="E840" s="4" t="n"/>
    </row>
    <row r="841" ht="15.75" customHeight="1">
      <c r="C841" s="4" t="n"/>
      <c r="D841" s="4" t="n"/>
      <c r="E841" s="4" t="n"/>
    </row>
    <row r="842" ht="15.75" customHeight="1">
      <c r="C842" s="4" t="n"/>
      <c r="D842" s="4" t="n"/>
      <c r="E842" s="4" t="n"/>
    </row>
    <row r="843" ht="15.75" customHeight="1">
      <c r="C843" s="4" t="n"/>
      <c r="D843" s="4" t="n"/>
      <c r="E843" s="4" t="n"/>
    </row>
    <row r="844" ht="15.75" customHeight="1">
      <c r="C844" s="4" t="n"/>
      <c r="D844" s="4" t="n"/>
      <c r="E844" s="4" t="n"/>
    </row>
    <row r="845" ht="15.75" customHeight="1">
      <c r="C845" s="4" t="n"/>
      <c r="D845" s="4" t="n"/>
      <c r="E845" s="4" t="n"/>
    </row>
    <row r="846" ht="15.75" customHeight="1">
      <c r="C846" s="4" t="n"/>
      <c r="D846" s="4" t="n"/>
      <c r="E846" s="4" t="n"/>
    </row>
    <row r="847" ht="15.75" customHeight="1">
      <c r="C847" s="4" t="n"/>
      <c r="D847" s="4" t="n"/>
      <c r="E847" s="4" t="n"/>
    </row>
    <row r="848" ht="15.75" customHeight="1">
      <c r="C848" s="4" t="n"/>
      <c r="D848" s="4" t="n"/>
      <c r="E848" s="4" t="n"/>
    </row>
    <row r="849" ht="15.75" customHeight="1">
      <c r="C849" s="4" t="n"/>
      <c r="D849" s="4" t="n"/>
      <c r="E849" s="4" t="n"/>
    </row>
    <row r="850" ht="15.75" customHeight="1">
      <c r="C850" s="4" t="n"/>
      <c r="D850" s="4" t="n"/>
      <c r="E850" s="4" t="n"/>
    </row>
    <row r="851" ht="15.75" customHeight="1">
      <c r="C851" s="4" t="n"/>
      <c r="D851" s="4" t="n"/>
      <c r="E851" s="4" t="n"/>
    </row>
    <row r="852" ht="15.75" customHeight="1">
      <c r="C852" s="4" t="n"/>
      <c r="D852" s="4" t="n"/>
      <c r="E852" s="4" t="n"/>
    </row>
    <row r="853" ht="15.75" customHeight="1">
      <c r="C853" s="4" t="n"/>
      <c r="D853" s="4" t="n"/>
      <c r="E853" s="4" t="n"/>
    </row>
    <row r="854" ht="15.75" customHeight="1">
      <c r="C854" s="4" t="n"/>
      <c r="D854" s="4" t="n"/>
      <c r="E854" s="4" t="n"/>
    </row>
    <row r="855" ht="15.75" customHeight="1">
      <c r="C855" s="4" t="n"/>
      <c r="D855" s="4" t="n"/>
      <c r="E855" s="4" t="n"/>
    </row>
    <row r="856" ht="15.75" customHeight="1">
      <c r="C856" s="4" t="n"/>
      <c r="D856" s="4" t="n"/>
      <c r="E856" s="4" t="n"/>
    </row>
    <row r="857" ht="15.75" customHeight="1">
      <c r="C857" s="4" t="n"/>
      <c r="D857" s="4" t="n"/>
      <c r="E857" s="4" t="n"/>
    </row>
    <row r="858" ht="15.75" customHeight="1">
      <c r="C858" s="4" t="n"/>
      <c r="D858" s="4" t="n"/>
      <c r="E858" s="4" t="n"/>
    </row>
    <row r="859" ht="15.75" customHeight="1">
      <c r="C859" s="4" t="n"/>
      <c r="D859" s="4" t="n"/>
      <c r="E859" s="4" t="n"/>
    </row>
    <row r="860" ht="15.75" customHeight="1">
      <c r="C860" s="4" t="n"/>
      <c r="D860" s="4" t="n"/>
      <c r="E860" s="4" t="n"/>
    </row>
    <row r="861" ht="15.75" customHeight="1">
      <c r="C861" s="4" t="n"/>
      <c r="D861" s="4" t="n"/>
      <c r="E861" s="4" t="n"/>
    </row>
    <row r="862" ht="15.75" customHeight="1">
      <c r="C862" s="4" t="n"/>
      <c r="D862" s="4" t="n"/>
      <c r="E862" s="4" t="n"/>
    </row>
    <row r="863" ht="15.75" customHeight="1">
      <c r="C863" s="4" t="n"/>
      <c r="D863" s="4" t="n"/>
      <c r="E863" s="4" t="n"/>
    </row>
    <row r="864" ht="15.75" customHeight="1">
      <c r="C864" s="4" t="n"/>
      <c r="D864" s="4" t="n"/>
      <c r="E864" s="4" t="n"/>
    </row>
    <row r="865" ht="15.75" customHeight="1">
      <c r="C865" s="4" t="n"/>
      <c r="D865" s="4" t="n"/>
      <c r="E865" s="4" t="n"/>
    </row>
    <row r="866" ht="15.75" customHeight="1">
      <c r="C866" s="4" t="n"/>
      <c r="D866" s="4" t="n"/>
      <c r="E866" s="4" t="n"/>
    </row>
    <row r="867" ht="15.75" customHeight="1">
      <c r="C867" s="4" t="n"/>
      <c r="D867" s="4" t="n"/>
      <c r="E867" s="4" t="n"/>
    </row>
    <row r="868" ht="15.75" customHeight="1">
      <c r="C868" s="4" t="n"/>
      <c r="D868" s="4" t="n"/>
      <c r="E868" s="4" t="n"/>
    </row>
    <row r="869" ht="15.75" customHeight="1">
      <c r="C869" s="4" t="n"/>
      <c r="D869" s="4" t="n"/>
      <c r="E869" s="4" t="n"/>
    </row>
    <row r="870" ht="15.75" customHeight="1">
      <c r="C870" s="4" t="n"/>
      <c r="D870" s="4" t="n"/>
      <c r="E870" s="4" t="n"/>
    </row>
    <row r="871" ht="15.75" customHeight="1">
      <c r="C871" s="4" t="n"/>
      <c r="D871" s="4" t="n"/>
      <c r="E871" s="4" t="n"/>
    </row>
    <row r="872" ht="15.75" customHeight="1">
      <c r="C872" s="4" t="n"/>
      <c r="D872" s="4" t="n"/>
      <c r="E872" s="4" t="n"/>
    </row>
    <row r="873" ht="15.75" customHeight="1">
      <c r="C873" s="4" t="n"/>
      <c r="D873" s="4" t="n"/>
      <c r="E873" s="4" t="n"/>
    </row>
    <row r="874" ht="15.75" customHeight="1">
      <c r="C874" s="4" t="n"/>
      <c r="D874" s="4" t="n"/>
      <c r="E874" s="4" t="n"/>
    </row>
    <row r="875" ht="15.75" customHeight="1">
      <c r="C875" s="4" t="n"/>
      <c r="D875" s="4" t="n"/>
      <c r="E875" s="4" t="n"/>
    </row>
    <row r="876" ht="15.75" customHeight="1">
      <c r="C876" s="4" t="n"/>
      <c r="D876" s="4" t="n"/>
      <c r="E876" s="4" t="n"/>
    </row>
    <row r="877" ht="15.75" customHeight="1">
      <c r="C877" s="4" t="n"/>
      <c r="D877" s="4" t="n"/>
      <c r="E877" s="4" t="n"/>
    </row>
    <row r="878" ht="15.75" customHeight="1">
      <c r="C878" s="4" t="n"/>
      <c r="D878" s="4" t="n"/>
      <c r="E878" s="4" t="n"/>
    </row>
    <row r="879" ht="15.75" customHeight="1">
      <c r="C879" s="4" t="n"/>
      <c r="D879" s="4" t="n"/>
      <c r="E879" s="4" t="n"/>
    </row>
    <row r="880" ht="15.75" customHeight="1">
      <c r="C880" s="4" t="n"/>
      <c r="D880" s="4" t="n"/>
      <c r="E880" s="4" t="n"/>
    </row>
    <row r="881" ht="15.75" customHeight="1">
      <c r="C881" s="4" t="n"/>
      <c r="D881" s="4" t="n"/>
      <c r="E881" s="4" t="n"/>
    </row>
    <row r="882" ht="15.75" customHeight="1">
      <c r="C882" s="4" t="n"/>
      <c r="D882" s="4" t="n"/>
      <c r="E882" s="4" t="n"/>
    </row>
    <row r="883" ht="15.75" customHeight="1">
      <c r="C883" s="4" t="n"/>
      <c r="D883" s="4" t="n"/>
      <c r="E883" s="4" t="n"/>
    </row>
    <row r="884" ht="15.75" customHeight="1">
      <c r="C884" s="4" t="n"/>
      <c r="D884" s="4" t="n"/>
      <c r="E884" s="4" t="n"/>
    </row>
    <row r="885" ht="15.75" customHeight="1">
      <c r="C885" s="4" t="n"/>
      <c r="D885" s="4" t="n"/>
      <c r="E885" s="4" t="n"/>
    </row>
    <row r="886" ht="15.75" customHeight="1">
      <c r="C886" s="4" t="n"/>
      <c r="D886" s="4" t="n"/>
      <c r="E886" s="4" t="n"/>
    </row>
    <row r="887" ht="15.75" customHeight="1">
      <c r="C887" s="4" t="n"/>
      <c r="D887" s="4" t="n"/>
      <c r="E887" s="4" t="n"/>
    </row>
    <row r="888" ht="15.75" customHeight="1">
      <c r="C888" s="4" t="n"/>
      <c r="D888" s="4" t="n"/>
      <c r="E888" s="4" t="n"/>
    </row>
    <row r="889" ht="15.75" customHeight="1">
      <c r="C889" s="4" t="n"/>
      <c r="D889" s="4" t="n"/>
      <c r="E889" s="4" t="n"/>
    </row>
    <row r="890" ht="15.75" customHeight="1">
      <c r="C890" s="4" t="n"/>
      <c r="D890" s="4" t="n"/>
      <c r="E890" s="4" t="n"/>
    </row>
    <row r="891" ht="15.75" customHeight="1">
      <c r="C891" s="4" t="n"/>
      <c r="D891" s="4" t="n"/>
      <c r="E891" s="4" t="n"/>
    </row>
    <row r="892" ht="15.75" customHeight="1">
      <c r="C892" s="4" t="n"/>
      <c r="D892" s="4" t="n"/>
      <c r="E892" s="4" t="n"/>
    </row>
    <row r="893" ht="15.75" customHeight="1">
      <c r="C893" s="4" t="n"/>
      <c r="D893" s="4" t="n"/>
      <c r="E893" s="4" t="n"/>
    </row>
    <row r="894" ht="15.75" customHeight="1">
      <c r="C894" s="4" t="n"/>
      <c r="D894" s="4" t="n"/>
      <c r="E894" s="4" t="n"/>
    </row>
    <row r="895" ht="15.75" customHeight="1">
      <c r="C895" s="4" t="n"/>
      <c r="D895" s="4" t="n"/>
      <c r="E895" s="4" t="n"/>
    </row>
    <row r="896" ht="15.75" customHeight="1">
      <c r="C896" s="4" t="n"/>
      <c r="D896" s="4" t="n"/>
      <c r="E896" s="4" t="n"/>
    </row>
    <row r="897" ht="15.75" customHeight="1">
      <c r="C897" s="4" t="n"/>
      <c r="D897" s="4" t="n"/>
      <c r="E897" s="4" t="n"/>
    </row>
    <row r="898" ht="15.75" customHeight="1">
      <c r="C898" s="4" t="n"/>
      <c r="D898" s="4" t="n"/>
      <c r="E898" s="4" t="n"/>
    </row>
    <row r="899" ht="15.75" customHeight="1">
      <c r="C899" s="4" t="n"/>
      <c r="D899" s="4" t="n"/>
      <c r="E899" s="4" t="n"/>
    </row>
    <row r="900" ht="15.75" customHeight="1">
      <c r="C900" s="4" t="n"/>
      <c r="D900" s="4" t="n"/>
      <c r="E900" s="4" t="n"/>
    </row>
    <row r="901" ht="15.75" customHeight="1">
      <c r="C901" s="4" t="n"/>
      <c r="D901" s="4" t="n"/>
      <c r="E901" s="4" t="n"/>
    </row>
    <row r="902" ht="15.75" customHeight="1">
      <c r="C902" s="4" t="n"/>
      <c r="D902" s="4" t="n"/>
      <c r="E902" s="4" t="n"/>
    </row>
    <row r="903" ht="15.75" customHeight="1">
      <c r="C903" s="4" t="n"/>
      <c r="D903" s="4" t="n"/>
      <c r="E903" s="4" t="n"/>
    </row>
    <row r="904" ht="15.75" customHeight="1">
      <c r="C904" s="4" t="n"/>
      <c r="D904" s="4" t="n"/>
      <c r="E904" s="4" t="n"/>
    </row>
    <row r="905" ht="15.75" customHeight="1">
      <c r="C905" s="4" t="n"/>
      <c r="D905" s="4" t="n"/>
      <c r="E905" s="4" t="n"/>
    </row>
    <row r="906" ht="15.75" customHeight="1">
      <c r="C906" s="4" t="n"/>
      <c r="D906" s="4" t="n"/>
      <c r="E906" s="4" t="n"/>
    </row>
    <row r="907" ht="15.75" customHeight="1">
      <c r="C907" s="4" t="n"/>
      <c r="D907" s="4" t="n"/>
      <c r="E907" s="4" t="n"/>
    </row>
    <row r="908" ht="15.75" customHeight="1">
      <c r="C908" s="4" t="n"/>
      <c r="D908" s="4" t="n"/>
      <c r="E908" s="4" t="n"/>
    </row>
    <row r="909" ht="15.75" customHeight="1">
      <c r="C909" s="4" t="n"/>
      <c r="D909" s="4" t="n"/>
      <c r="E909" s="4" t="n"/>
    </row>
    <row r="910" ht="15.75" customHeight="1">
      <c r="C910" s="4" t="n"/>
      <c r="D910" s="4" t="n"/>
      <c r="E910" s="4" t="n"/>
    </row>
    <row r="911" ht="15.75" customHeight="1">
      <c r="C911" s="4" t="n"/>
      <c r="D911" s="4" t="n"/>
      <c r="E911" s="4" t="n"/>
    </row>
    <row r="912" ht="15.75" customHeight="1">
      <c r="C912" s="4" t="n"/>
      <c r="D912" s="4" t="n"/>
      <c r="E912" s="4" t="n"/>
    </row>
    <row r="913" ht="15.75" customHeight="1">
      <c r="C913" s="4" t="n"/>
      <c r="D913" s="4" t="n"/>
      <c r="E913" s="4" t="n"/>
    </row>
    <row r="914" ht="15.75" customHeight="1">
      <c r="C914" s="4" t="n"/>
      <c r="D914" s="4" t="n"/>
      <c r="E914" s="4" t="n"/>
    </row>
    <row r="915" ht="15.75" customHeight="1">
      <c r="C915" s="4" t="n"/>
      <c r="D915" s="4" t="n"/>
      <c r="E915" s="4" t="n"/>
    </row>
    <row r="916" ht="15.75" customHeight="1">
      <c r="C916" s="4" t="n"/>
      <c r="D916" s="4" t="n"/>
      <c r="E916" s="4" t="n"/>
    </row>
    <row r="917" ht="15.75" customHeight="1">
      <c r="C917" s="4" t="n"/>
      <c r="D917" s="4" t="n"/>
      <c r="E917" s="4" t="n"/>
    </row>
    <row r="918" ht="15.75" customHeight="1">
      <c r="C918" s="4" t="n"/>
      <c r="D918" s="4" t="n"/>
      <c r="E918" s="4" t="n"/>
    </row>
    <row r="919" ht="15.75" customHeight="1">
      <c r="C919" s="4" t="n"/>
      <c r="D919" s="4" t="n"/>
      <c r="E919" s="4" t="n"/>
    </row>
    <row r="920" ht="15.75" customHeight="1">
      <c r="C920" s="4" t="n"/>
      <c r="D920" s="4" t="n"/>
      <c r="E920" s="4" t="n"/>
    </row>
    <row r="921" ht="15.75" customHeight="1">
      <c r="C921" s="4" t="n"/>
      <c r="D921" s="4" t="n"/>
      <c r="E921" s="4" t="n"/>
    </row>
    <row r="922" ht="15.75" customHeight="1">
      <c r="C922" s="4" t="n"/>
      <c r="D922" s="4" t="n"/>
      <c r="E922" s="4" t="n"/>
    </row>
    <row r="923" ht="15.75" customHeight="1">
      <c r="C923" s="4" t="n"/>
      <c r="D923" s="4" t="n"/>
      <c r="E923" s="4" t="n"/>
    </row>
    <row r="924" ht="15.75" customHeight="1">
      <c r="C924" s="4" t="n"/>
      <c r="D924" s="4" t="n"/>
      <c r="E924" s="4" t="n"/>
    </row>
    <row r="925" ht="15.75" customHeight="1">
      <c r="C925" s="4" t="n"/>
      <c r="D925" s="4" t="n"/>
      <c r="E925" s="4" t="n"/>
    </row>
    <row r="926" ht="15.75" customHeight="1">
      <c r="C926" s="4" t="n"/>
      <c r="D926" s="4" t="n"/>
      <c r="E926" s="4" t="n"/>
    </row>
    <row r="927" ht="15.75" customHeight="1">
      <c r="C927" s="4" t="n"/>
      <c r="D927" s="4" t="n"/>
      <c r="E927" s="4" t="n"/>
    </row>
    <row r="928" ht="15.75" customHeight="1">
      <c r="C928" s="4" t="n"/>
      <c r="D928" s="4" t="n"/>
      <c r="E928" s="4" t="n"/>
    </row>
    <row r="929" ht="15.75" customHeight="1">
      <c r="C929" s="4" t="n"/>
      <c r="D929" s="4" t="n"/>
      <c r="E929" s="4" t="n"/>
    </row>
    <row r="930" ht="15.75" customHeight="1">
      <c r="C930" s="4" t="n"/>
      <c r="D930" s="4" t="n"/>
      <c r="E930" s="4" t="n"/>
    </row>
    <row r="931" ht="15.75" customHeight="1">
      <c r="C931" s="4" t="n"/>
      <c r="D931" s="4" t="n"/>
      <c r="E931" s="4" t="n"/>
    </row>
    <row r="932" ht="15.75" customHeight="1">
      <c r="C932" s="4" t="n"/>
      <c r="D932" s="4" t="n"/>
      <c r="E932" s="4" t="n"/>
    </row>
    <row r="933" ht="15.75" customHeight="1">
      <c r="C933" s="4" t="n"/>
      <c r="D933" s="4" t="n"/>
      <c r="E933" s="4" t="n"/>
    </row>
    <row r="934" ht="15.75" customHeight="1">
      <c r="C934" s="4" t="n"/>
      <c r="D934" s="4" t="n"/>
      <c r="E934" s="4" t="n"/>
    </row>
    <row r="935" ht="15.75" customHeight="1">
      <c r="C935" s="4" t="n"/>
      <c r="D935" s="4" t="n"/>
      <c r="E935" s="4" t="n"/>
    </row>
    <row r="936" ht="15.75" customHeight="1">
      <c r="C936" s="4" t="n"/>
      <c r="D936" s="4" t="n"/>
      <c r="E936" s="4" t="n"/>
    </row>
    <row r="937" ht="15.75" customHeight="1">
      <c r="C937" s="4" t="n"/>
      <c r="D937" s="4" t="n"/>
      <c r="E937" s="4" t="n"/>
    </row>
    <row r="938" ht="15.75" customHeight="1">
      <c r="C938" s="4" t="n"/>
      <c r="D938" s="4" t="n"/>
      <c r="E938" s="4" t="n"/>
    </row>
    <row r="939" ht="15.75" customHeight="1">
      <c r="C939" s="4" t="n"/>
      <c r="D939" s="4" t="n"/>
      <c r="E939" s="4" t="n"/>
    </row>
    <row r="940" ht="15.75" customHeight="1">
      <c r="C940" s="4" t="n"/>
      <c r="D940" s="4" t="n"/>
      <c r="E940" s="4" t="n"/>
    </row>
    <row r="941" ht="15.75" customHeight="1">
      <c r="C941" s="4" t="n"/>
      <c r="D941" s="4" t="n"/>
      <c r="E941" s="4" t="n"/>
    </row>
    <row r="942" ht="15.75" customHeight="1">
      <c r="C942" s="4" t="n"/>
      <c r="D942" s="4" t="n"/>
      <c r="E942" s="4" t="n"/>
    </row>
    <row r="943" ht="15.75" customHeight="1">
      <c r="C943" s="4" t="n"/>
      <c r="D943" s="4" t="n"/>
      <c r="E943" s="4" t="n"/>
    </row>
    <row r="944" ht="15.75" customHeight="1">
      <c r="C944" s="4" t="n"/>
      <c r="D944" s="4" t="n"/>
      <c r="E944" s="4" t="n"/>
    </row>
    <row r="945" ht="15.75" customHeight="1">
      <c r="C945" s="4" t="n"/>
      <c r="D945" s="4" t="n"/>
      <c r="E945" s="4" t="n"/>
    </row>
    <row r="946" ht="15.75" customHeight="1">
      <c r="C946" s="4" t="n"/>
      <c r="D946" s="4" t="n"/>
      <c r="E946" s="4" t="n"/>
    </row>
    <row r="947" ht="15.75" customHeight="1">
      <c r="C947" s="4" t="n"/>
      <c r="D947" s="4" t="n"/>
      <c r="E947" s="4" t="n"/>
    </row>
    <row r="948" ht="15.75" customHeight="1">
      <c r="C948" s="4" t="n"/>
      <c r="D948" s="4" t="n"/>
      <c r="E948" s="4" t="n"/>
    </row>
    <row r="949" ht="15.75" customHeight="1">
      <c r="C949" s="4" t="n"/>
      <c r="D949" s="4" t="n"/>
      <c r="E949" s="4" t="n"/>
    </row>
    <row r="950" ht="15.75" customHeight="1">
      <c r="C950" s="4" t="n"/>
      <c r="D950" s="4" t="n"/>
      <c r="E950" s="4" t="n"/>
    </row>
    <row r="951" ht="15.75" customHeight="1">
      <c r="C951" s="4" t="n"/>
      <c r="D951" s="4" t="n"/>
      <c r="E951" s="4" t="n"/>
    </row>
    <row r="952" ht="15.75" customHeight="1">
      <c r="C952" s="4" t="n"/>
      <c r="D952" s="4" t="n"/>
      <c r="E952" s="4" t="n"/>
    </row>
    <row r="953" ht="15.75" customHeight="1">
      <c r="C953" s="4" t="n"/>
      <c r="D953" s="4" t="n"/>
      <c r="E953" s="4" t="n"/>
    </row>
    <row r="954" ht="15.75" customHeight="1">
      <c r="C954" s="4" t="n"/>
      <c r="D954" s="4" t="n"/>
      <c r="E954" s="4" t="n"/>
    </row>
    <row r="955" ht="15.75" customHeight="1">
      <c r="C955" s="4" t="n"/>
      <c r="D955" s="4" t="n"/>
      <c r="E955" s="4" t="n"/>
    </row>
    <row r="956" ht="15.75" customHeight="1">
      <c r="C956" s="4" t="n"/>
      <c r="D956" s="4" t="n"/>
      <c r="E956" s="4" t="n"/>
    </row>
    <row r="957" ht="15.75" customHeight="1">
      <c r="C957" s="4" t="n"/>
      <c r="D957" s="4" t="n"/>
      <c r="E957" s="4" t="n"/>
    </row>
    <row r="958" ht="15.75" customHeight="1">
      <c r="C958" s="4" t="n"/>
      <c r="D958" s="4" t="n"/>
      <c r="E958" s="4" t="n"/>
    </row>
    <row r="959" ht="15.75" customHeight="1">
      <c r="C959" s="4" t="n"/>
      <c r="D959" s="4" t="n"/>
      <c r="E959" s="4" t="n"/>
    </row>
    <row r="960" ht="15.75" customHeight="1">
      <c r="C960" s="4" t="n"/>
      <c r="D960" s="4" t="n"/>
      <c r="E960" s="4" t="n"/>
    </row>
    <row r="961" ht="15.75" customHeight="1">
      <c r="C961" s="4" t="n"/>
      <c r="D961" s="4" t="n"/>
      <c r="E961" s="4" t="n"/>
    </row>
    <row r="962" ht="15.75" customHeight="1">
      <c r="C962" s="4" t="n"/>
      <c r="D962" s="4" t="n"/>
      <c r="E962" s="4" t="n"/>
    </row>
    <row r="963" ht="15.75" customHeight="1">
      <c r="C963" s="4" t="n"/>
      <c r="D963" s="4" t="n"/>
      <c r="E963" s="4" t="n"/>
    </row>
    <row r="964" ht="15.75" customHeight="1">
      <c r="C964" s="4" t="n"/>
      <c r="D964" s="4" t="n"/>
      <c r="E964" s="4" t="n"/>
    </row>
    <row r="965" ht="15.75" customHeight="1">
      <c r="C965" s="4" t="n"/>
      <c r="D965" s="4" t="n"/>
      <c r="E965" s="4" t="n"/>
    </row>
    <row r="966" ht="15.75" customHeight="1">
      <c r="C966" s="4" t="n"/>
      <c r="D966" s="4" t="n"/>
      <c r="E966" s="4" t="n"/>
    </row>
    <row r="967" ht="15.75" customHeight="1">
      <c r="C967" s="4" t="n"/>
      <c r="D967" s="4" t="n"/>
      <c r="E967" s="4" t="n"/>
    </row>
    <row r="968" ht="15.75" customHeight="1">
      <c r="C968" s="4" t="n"/>
      <c r="D968" s="4" t="n"/>
      <c r="E968" s="4" t="n"/>
    </row>
    <row r="969" ht="15.75" customHeight="1">
      <c r="C969" s="4" t="n"/>
      <c r="D969" s="4" t="n"/>
      <c r="E969" s="4" t="n"/>
    </row>
    <row r="970" ht="15.75" customHeight="1">
      <c r="C970" s="4" t="n"/>
      <c r="D970" s="4" t="n"/>
      <c r="E970" s="4" t="n"/>
    </row>
    <row r="971" ht="15.75" customHeight="1">
      <c r="C971" s="4" t="n"/>
      <c r="D971" s="4" t="n"/>
      <c r="E971" s="4" t="n"/>
    </row>
    <row r="972" ht="15.75" customHeight="1">
      <c r="C972" s="4" t="n"/>
      <c r="D972" s="4" t="n"/>
      <c r="E972" s="4" t="n"/>
    </row>
    <row r="973" ht="15.75" customHeight="1">
      <c r="C973" s="4" t="n"/>
      <c r="D973" s="4" t="n"/>
      <c r="E973" s="4" t="n"/>
    </row>
    <row r="974" ht="15.75" customHeight="1">
      <c r="C974" s="4" t="n"/>
      <c r="D974" s="4" t="n"/>
      <c r="E974" s="4" t="n"/>
    </row>
    <row r="975" ht="15.75" customHeight="1">
      <c r="C975" s="4" t="n"/>
      <c r="D975" s="4" t="n"/>
      <c r="E975" s="4" t="n"/>
    </row>
    <row r="976" ht="15.75" customHeight="1">
      <c r="C976" s="4" t="n"/>
      <c r="D976" s="4" t="n"/>
      <c r="E976" s="4" t="n"/>
    </row>
    <row r="977" ht="15.75" customHeight="1">
      <c r="C977" s="4" t="n"/>
      <c r="D977" s="4" t="n"/>
      <c r="E977" s="4" t="n"/>
    </row>
    <row r="978" ht="15.75" customHeight="1">
      <c r="C978" s="4" t="n"/>
      <c r="D978" s="4" t="n"/>
      <c r="E978" s="4" t="n"/>
    </row>
    <row r="979" ht="15.75" customHeight="1">
      <c r="C979" s="4" t="n"/>
      <c r="D979" s="4" t="n"/>
      <c r="E979" s="4" t="n"/>
    </row>
    <row r="980" ht="15.75" customHeight="1">
      <c r="C980" s="4" t="n"/>
      <c r="D980" s="4" t="n"/>
      <c r="E980" s="4" t="n"/>
    </row>
    <row r="981" ht="15.75" customHeight="1">
      <c r="C981" s="4" t="n"/>
      <c r="D981" s="4" t="n"/>
      <c r="E981" s="4" t="n"/>
    </row>
    <row r="982" ht="15.75" customHeight="1">
      <c r="C982" s="4" t="n"/>
      <c r="D982" s="4" t="n"/>
      <c r="E982" s="4" t="n"/>
    </row>
    <row r="983" ht="15.75" customHeight="1">
      <c r="C983" s="4" t="n"/>
      <c r="D983" s="4" t="n"/>
      <c r="E983" s="4" t="n"/>
    </row>
    <row r="984" ht="15.75" customHeight="1">
      <c r="C984" s="4" t="n"/>
      <c r="D984" s="4" t="n"/>
      <c r="E984" s="4" t="n"/>
    </row>
    <row r="985" ht="15.75" customHeight="1">
      <c r="C985" s="4" t="n"/>
      <c r="D985" s="4" t="n"/>
      <c r="E985" s="4" t="n"/>
    </row>
    <row r="986" ht="15.75" customHeight="1">
      <c r="C986" s="4" t="n"/>
      <c r="D986" s="4" t="n"/>
      <c r="E986" s="4" t="n"/>
    </row>
    <row r="987" ht="15.75" customHeight="1">
      <c r="C987" s="4" t="n"/>
      <c r="D987" s="4" t="n"/>
      <c r="E987" s="4" t="n"/>
    </row>
    <row r="988" ht="15.75" customHeight="1">
      <c r="C988" s="4" t="n"/>
      <c r="D988" s="4" t="n"/>
      <c r="E988" s="4" t="n"/>
    </row>
    <row r="989" ht="15.75" customHeight="1">
      <c r="C989" s="4" t="n"/>
      <c r="D989" s="4" t="n"/>
      <c r="E989" s="4" t="n"/>
    </row>
    <row r="990" ht="15.75" customHeight="1">
      <c r="C990" s="4" t="n"/>
      <c r="D990" s="4" t="n"/>
      <c r="E990" s="4" t="n"/>
    </row>
    <row r="991" ht="15.75" customHeight="1">
      <c r="C991" s="4" t="n"/>
      <c r="D991" s="4" t="n"/>
      <c r="E991" s="4" t="n"/>
    </row>
    <row r="992" ht="15.75" customHeight="1">
      <c r="C992" s="4" t="n"/>
      <c r="D992" s="4" t="n"/>
      <c r="E992" s="4" t="n"/>
    </row>
    <row r="993" ht="15.75" customHeight="1">
      <c r="C993" s="4" t="n"/>
      <c r="D993" s="4" t="n"/>
      <c r="E993" s="4" t="n"/>
    </row>
    <row r="994" ht="15.75" customHeight="1">
      <c r="C994" s="4" t="n"/>
      <c r="D994" s="4" t="n"/>
      <c r="E994" s="4" t="n"/>
    </row>
    <row r="995" ht="15.75" customHeight="1">
      <c r="C995" s="4" t="n"/>
      <c r="D995" s="4" t="n"/>
      <c r="E995" s="4" t="n"/>
    </row>
    <row r="996" ht="15.75" customHeight="1">
      <c r="C996" s="4" t="n"/>
      <c r="D996" s="4" t="n"/>
      <c r="E996" s="4" t="n"/>
    </row>
    <row r="997" ht="15.75" customHeight="1">
      <c r="C997" s="4" t="n"/>
      <c r="D997" s="4" t="n"/>
      <c r="E997" s="4" t="n"/>
    </row>
    <row r="998" ht="15.75" customHeight="1">
      <c r="C998" s="4" t="n"/>
      <c r="D998" s="4" t="n"/>
      <c r="E998" s="4" t="n"/>
    </row>
    <row r="999" ht="15.75" customHeight="1">
      <c r="C999" s="4" t="n"/>
      <c r="D999" s="4" t="n"/>
      <c r="E999" s="4" t="n"/>
    </row>
    <row r="1000" ht="15.75" customHeight="1">
      <c r="C1000" s="4" t="n"/>
      <c r="D1000" s="4" t="n"/>
      <c r="E1000" s="4" t="n"/>
    </row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B7" sqref="B7"/>
    </sheetView>
  </sheetViews>
  <sheetFormatPr baseColWidth="8" defaultColWidth="12.6640625" defaultRowHeight="15" customHeight="1"/>
  <cols>
    <col width="4.5" customWidth="1" min="1" max="1"/>
    <col width="31.9140625" customWidth="1" min="2" max="2"/>
    <col width="16.4140625" customWidth="1" min="3" max="3"/>
    <col width="20" customWidth="1" min="4" max="4"/>
    <col width="8.75" customWidth="1" min="5" max="7"/>
    <col width="14.4140625" customWidth="1" min="8" max="27"/>
  </cols>
  <sheetData>
    <row r="1" ht="26" customHeight="1">
      <c r="B1" s="27" t="inlineStr">
        <is>
          <t>Asset</t>
        </is>
      </c>
      <c r="C1" s="27" t="inlineStr">
        <is>
          <t>Current Value</t>
        </is>
      </c>
      <c r="D1" s="27" t="inlineStr">
        <is>
          <t>Optional Remarks /Comments</t>
        </is>
      </c>
    </row>
    <row r="2" ht="14" customHeight="1">
      <c r="B2" s="49" t="inlineStr">
        <is>
          <t>100 grams gold jewellery on my name</t>
        </is>
      </c>
      <c r="C2" s="72" t="n"/>
      <c r="D2" s="51" t="n"/>
    </row>
    <row r="3" ht="15" customHeight="1">
      <c r="B3" s="51" t="n"/>
      <c r="C3" s="72" t="n"/>
      <c r="D3" s="32" t="n"/>
    </row>
    <row r="4" ht="15" customHeight="1">
      <c r="B4" s="51" t="n"/>
      <c r="C4" s="51" t="n"/>
      <c r="D4" s="51" t="n"/>
    </row>
    <row r="5" ht="15" customHeight="1">
      <c r="B5" s="51" t="n"/>
      <c r="C5" s="51" t="n"/>
      <c r="D5" s="51" t="n"/>
    </row>
    <row r="6" ht="15" customHeight="1">
      <c r="B6" s="51" t="n"/>
      <c r="C6" s="51" t="n"/>
      <c r="D6" s="51" t="n"/>
    </row>
    <row r="7" ht="15" customHeight="1">
      <c r="B7" s="51" t="n"/>
      <c r="C7" s="51" t="n"/>
      <c r="D7" s="51" t="n"/>
    </row>
    <row r="8" ht="15" customHeight="1">
      <c r="B8" s="51" t="n"/>
      <c r="C8" s="51" t="n"/>
      <c r="D8" s="51" t="n"/>
    </row>
    <row r="9" ht="15" customHeight="1">
      <c r="B9" s="51" t="n"/>
      <c r="C9" s="51" t="n"/>
      <c r="D9" s="51" t="n"/>
    </row>
    <row r="10" ht="15" customHeight="1">
      <c r="B10" s="67" t="n"/>
      <c r="C10" s="79">
        <f>SUM(C2:C9)</f>
        <v/>
      </c>
      <c r="D10" s="67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showGridLines="0" workbookViewId="0">
      <selection activeCell="B7" sqref="B7"/>
    </sheetView>
  </sheetViews>
  <sheetFormatPr baseColWidth="8" defaultColWidth="12.6640625" defaultRowHeight="15" customHeight="1"/>
  <cols>
    <col width="3.9140625" customWidth="1" min="1" max="1"/>
    <col width="30.6640625" customWidth="1" min="2" max="2"/>
    <col width="18.25" customWidth="1" min="3" max="3"/>
    <col width="42.33203125" customWidth="1" min="4" max="4"/>
    <col width="8.75" customWidth="1" min="5" max="7"/>
    <col width="14.4140625" customWidth="1" min="8" max="27"/>
  </cols>
  <sheetData>
    <row r="1" ht="14" customHeight="1">
      <c r="B1" s="27" t="inlineStr">
        <is>
          <t>Category</t>
        </is>
      </c>
      <c r="C1" s="27" t="inlineStr">
        <is>
          <t>Amount</t>
        </is>
      </c>
      <c r="D1" s="27" t="inlineStr">
        <is>
          <t>Optional Remarks /Comments</t>
        </is>
      </c>
    </row>
    <row r="2" ht="14.5" customHeight="1">
      <c r="B2" s="84" t="inlineStr">
        <is>
          <t>Savings Account Bank Balance</t>
        </is>
      </c>
      <c r="C2" s="85" t="n"/>
      <c r="D2" s="86" t="inlineStr">
        <is>
          <t>planning to reserve 2 lacs for emergency fund</t>
        </is>
      </c>
    </row>
    <row r="3" ht="14.5" customHeight="1">
      <c r="B3" s="84" t="n"/>
      <c r="C3" s="85" t="n"/>
      <c r="D3" s="103" t="n"/>
    </row>
    <row r="4" ht="14.5" customHeight="1">
      <c r="B4" s="84" t="n"/>
      <c r="C4" s="85" t="n"/>
      <c r="D4" s="73" t="n"/>
    </row>
    <row r="5" ht="14.5" customHeight="1">
      <c r="B5" s="84" t="n"/>
      <c r="C5" s="85" t="n"/>
      <c r="D5" s="86" t="n"/>
    </row>
    <row r="6" ht="14.5" customHeight="1">
      <c r="B6" s="84" t="n"/>
      <c r="C6" s="87" t="n"/>
      <c r="D6" s="73" t="n"/>
    </row>
    <row r="7" ht="14" customHeight="1">
      <c r="B7" s="73" t="n"/>
      <c r="C7" s="85" t="n"/>
      <c r="D7" s="73" t="n"/>
    </row>
    <row r="8" ht="14" customHeight="1">
      <c r="B8" s="73" t="n"/>
      <c r="C8" s="85" t="n"/>
      <c r="D8" s="73" t="n"/>
    </row>
    <row r="9" ht="14" customHeight="1">
      <c r="B9" s="73" t="n"/>
      <c r="C9" s="88" t="n"/>
      <c r="D9" s="73" t="n"/>
    </row>
    <row r="10" ht="14.5" customHeight="1">
      <c r="B10" s="89" t="n"/>
      <c r="C10" s="77">
        <f>SUM(C2:C9)</f>
        <v/>
      </c>
      <c r="D10" s="78" t="n"/>
    </row>
    <row r="11" ht="14" customHeight="1">
      <c r="C11" s="4" t="n"/>
    </row>
    <row r="12" ht="14" customHeight="1">
      <c r="C12" s="4" t="n"/>
    </row>
    <row r="13" ht="14" customHeight="1">
      <c r="C13" s="4" t="n"/>
    </row>
    <row r="14" ht="14" customHeight="1">
      <c r="C14" s="4" t="n"/>
    </row>
    <row r="15" ht="14" customHeight="1">
      <c r="C15" s="4" t="n"/>
    </row>
    <row r="16" ht="14" customHeight="1">
      <c r="C16" s="4" t="n"/>
    </row>
    <row r="17" ht="14" customHeight="1">
      <c r="C17" s="4" t="n"/>
    </row>
    <row r="18" ht="14" customHeight="1">
      <c r="C18" s="4" t="n"/>
    </row>
    <row r="19" ht="14" customHeight="1">
      <c r="C19" s="4" t="n"/>
    </row>
    <row r="20" ht="14" customHeight="1">
      <c r="C20" s="4" t="n"/>
    </row>
    <row r="21" ht="14" customHeight="1">
      <c r="C21" s="4" t="n"/>
    </row>
    <row r="22" ht="15.75" customHeight="1">
      <c r="C22" s="4" t="n"/>
    </row>
    <row r="23" ht="15.75" customHeight="1">
      <c r="C23" s="4" t="n"/>
    </row>
    <row r="24" ht="15.75" customHeight="1">
      <c r="C24" s="4" t="n"/>
    </row>
    <row r="25" ht="15.75" customHeight="1">
      <c r="C25" s="4" t="n"/>
    </row>
    <row r="26" ht="15.75" customHeight="1">
      <c r="C26" s="4" t="n"/>
    </row>
    <row r="27" ht="15.75" customHeight="1">
      <c r="C27" s="4" t="n"/>
    </row>
    <row r="28" ht="15.75" customHeight="1">
      <c r="C28" s="4" t="n"/>
    </row>
    <row r="29" ht="15.75" customHeight="1">
      <c r="C29" s="4" t="n"/>
    </row>
    <row r="30" ht="15.75" customHeight="1">
      <c r="C30" s="4" t="n"/>
    </row>
    <row r="31" ht="15.75" customHeight="1">
      <c r="C31" s="4" t="n"/>
    </row>
    <row r="32" ht="15.75" customHeight="1">
      <c r="C32" s="4" t="n"/>
    </row>
    <row r="33" ht="15.75" customHeight="1">
      <c r="C33" s="4" t="n"/>
    </row>
    <row r="34" ht="15.75" customHeight="1">
      <c r="C34" s="4" t="n"/>
    </row>
    <row r="35" ht="15.75" customHeight="1">
      <c r="C35" s="4" t="n"/>
    </row>
    <row r="36" ht="15.75" customHeight="1">
      <c r="C36" s="4" t="n"/>
    </row>
    <row r="37" ht="15.75" customHeight="1">
      <c r="C37" s="4" t="n"/>
    </row>
    <row r="38" ht="15.75" customHeight="1">
      <c r="C38" s="4" t="n"/>
    </row>
    <row r="39" ht="15.75" customHeight="1">
      <c r="C39" s="4" t="n"/>
    </row>
    <row r="40" ht="15.75" customHeight="1">
      <c r="C40" s="4" t="n"/>
    </row>
    <row r="41" ht="15.75" customHeight="1">
      <c r="C41" s="4" t="n"/>
    </row>
    <row r="42" ht="15.75" customHeight="1">
      <c r="C42" s="4" t="n"/>
    </row>
    <row r="43" ht="15.75" customHeight="1">
      <c r="C43" s="4" t="n"/>
    </row>
    <row r="44" ht="15.75" customHeight="1">
      <c r="C44" s="4" t="n"/>
    </row>
    <row r="45" ht="15.75" customHeight="1">
      <c r="C45" s="4" t="n"/>
    </row>
    <row r="46" ht="15.75" customHeight="1">
      <c r="C46" s="4" t="n"/>
    </row>
    <row r="47" ht="15.75" customHeight="1">
      <c r="C47" s="4" t="n"/>
    </row>
    <row r="48" ht="15.75" customHeight="1">
      <c r="C48" s="4" t="n"/>
    </row>
    <row r="49" ht="15.75" customHeight="1">
      <c r="C49" s="4" t="n"/>
    </row>
    <row r="50" ht="15.75" customHeight="1">
      <c r="C50" s="4" t="n"/>
    </row>
    <row r="51" ht="15.75" customHeight="1">
      <c r="C51" s="4" t="n"/>
    </row>
    <row r="52" ht="15.75" customHeight="1">
      <c r="C52" s="4" t="n"/>
    </row>
    <row r="53" ht="15.75" customHeight="1">
      <c r="C53" s="4" t="n"/>
    </row>
    <row r="54" ht="15.75" customHeight="1">
      <c r="C54" s="4" t="n"/>
    </row>
    <row r="55" ht="15.75" customHeight="1">
      <c r="C55" s="4" t="n"/>
    </row>
    <row r="56" ht="15.75" customHeight="1">
      <c r="C56" s="4" t="n"/>
    </row>
    <row r="57" ht="15.75" customHeight="1">
      <c r="C57" s="4" t="n"/>
    </row>
    <row r="58" ht="15.75" customHeight="1">
      <c r="C58" s="4" t="n"/>
    </row>
    <row r="59" ht="15.75" customHeight="1">
      <c r="C59" s="4" t="n"/>
    </row>
    <row r="60" ht="15.75" customHeight="1">
      <c r="C60" s="4" t="n"/>
    </row>
    <row r="61" ht="15.75" customHeight="1">
      <c r="C61" s="4" t="n"/>
    </row>
    <row r="62" ht="15.75" customHeight="1">
      <c r="C62" s="4" t="n"/>
    </row>
    <row r="63" ht="15.75" customHeight="1">
      <c r="C63" s="4" t="n"/>
    </row>
    <row r="64" ht="15.75" customHeight="1">
      <c r="C64" s="4" t="n"/>
    </row>
    <row r="65" ht="15.75" customHeight="1">
      <c r="C65" s="4" t="n"/>
    </row>
    <row r="66" ht="15.75" customHeight="1">
      <c r="C66" s="4" t="n"/>
    </row>
    <row r="67" ht="15.75" customHeight="1">
      <c r="C67" s="4" t="n"/>
    </row>
    <row r="68" ht="15.75" customHeight="1">
      <c r="C68" s="4" t="n"/>
    </row>
    <row r="69" ht="15.75" customHeight="1">
      <c r="C69" s="4" t="n"/>
    </row>
    <row r="70" ht="15.75" customHeight="1">
      <c r="C70" s="4" t="n"/>
    </row>
    <row r="71" ht="15.75" customHeight="1">
      <c r="C71" s="4" t="n"/>
    </row>
    <row r="72" ht="15.75" customHeight="1">
      <c r="C72" s="4" t="n"/>
    </row>
    <row r="73" ht="15.75" customHeight="1">
      <c r="C73" s="4" t="n"/>
    </row>
    <row r="74" ht="15.75" customHeight="1">
      <c r="C74" s="4" t="n"/>
    </row>
    <row r="75" ht="15.75" customHeight="1">
      <c r="C75" s="4" t="n"/>
    </row>
    <row r="76" ht="15.75" customHeight="1">
      <c r="C76" s="4" t="n"/>
    </row>
    <row r="77" ht="15.75" customHeight="1">
      <c r="C77" s="4" t="n"/>
    </row>
    <row r="78" ht="15.75" customHeight="1">
      <c r="C78" s="4" t="n"/>
    </row>
    <row r="79" ht="15.75" customHeight="1">
      <c r="C79" s="4" t="n"/>
    </row>
    <row r="80" ht="15.75" customHeight="1">
      <c r="C80" s="4" t="n"/>
    </row>
    <row r="81" ht="15.75" customHeight="1">
      <c r="C81" s="4" t="n"/>
    </row>
    <row r="82" ht="15.75" customHeight="1">
      <c r="C82" s="4" t="n"/>
    </row>
    <row r="83" ht="15.75" customHeight="1">
      <c r="C83" s="4" t="n"/>
    </row>
    <row r="84" ht="15.75" customHeight="1">
      <c r="C84" s="4" t="n"/>
    </row>
    <row r="85" ht="15.75" customHeight="1">
      <c r="C85" s="4" t="n"/>
    </row>
    <row r="86" ht="15.75" customHeight="1">
      <c r="C86" s="4" t="n"/>
    </row>
    <row r="87" ht="15.75" customHeight="1">
      <c r="C87" s="4" t="n"/>
    </row>
    <row r="88" ht="15.75" customHeight="1">
      <c r="C88" s="4" t="n"/>
    </row>
    <row r="89" ht="15.75" customHeight="1">
      <c r="C89" s="4" t="n"/>
    </row>
    <row r="90" ht="15.75" customHeight="1">
      <c r="C90" s="4" t="n"/>
    </row>
    <row r="91" ht="15.75" customHeight="1">
      <c r="C91" s="4" t="n"/>
    </row>
    <row r="92" ht="15.75" customHeight="1">
      <c r="C92" s="4" t="n"/>
    </row>
    <row r="93" ht="15.75" customHeight="1">
      <c r="C93" s="4" t="n"/>
    </row>
    <row r="94" ht="15.75" customHeight="1">
      <c r="C94" s="4" t="n"/>
    </row>
    <row r="95" ht="15.75" customHeight="1">
      <c r="C95" s="4" t="n"/>
    </row>
    <row r="96" ht="15.75" customHeight="1">
      <c r="C96" s="4" t="n"/>
    </row>
    <row r="97" ht="15.75" customHeight="1">
      <c r="C97" s="4" t="n"/>
    </row>
    <row r="98" ht="15.75" customHeight="1">
      <c r="C98" s="4" t="n"/>
    </row>
    <row r="99" ht="15.75" customHeight="1">
      <c r="C99" s="4" t="n"/>
    </row>
    <row r="100" ht="15.75" customHeight="1">
      <c r="C100" s="4" t="n"/>
    </row>
    <row r="101" ht="15.75" customHeight="1">
      <c r="C101" s="4" t="n"/>
    </row>
    <row r="102" ht="15.75" customHeight="1">
      <c r="C102" s="4" t="n"/>
    </row>
    <row r="103" ht="15.75" customHeight="1">
      <c r="C103" s="4" t="n"/>
    </row>
    <row r="104" ht="15.75" customHeight="1">
      <c r="C104" s="4" t="n"/>
    </row>
    <row r="105" ht="15.75" customHeight="1">
      <c r="C105" s="4" t="n"/>
    </row>
    <row r="106" ht="15.75" customHeight="1">
      <c r="C106" s="4" t="n"/>
    </row>
    <row r="107" ht="15.75" customHeight="1">
      <c r="C107" s="4" t="n"/>
    </row>
    <row r="108" ht="15.75" customHeight="1">
      <c r="C108" s="4" t="n"/>
    </row>
    <row r="109" ht="15.75" customHeight="1">
      <c r="C109" s="4" t="n"/>
    </row>
    <row r="110" ht="15.75" customHeight="1">
      <c r="C110" s="4" t="n"/>
    </row>
    <row r="111" ht="15.75" customHeight="1">
      <c r="C111" s="4" t="n"/>
    </row>
    <row r="112" ht="15.75" customHeight="1">
      <c r="C112" s="4" t="n"/>
    </row>
    <row r="113" ht="15.75" customHeight="1">
      <c r="C113" s="4" t="n"/>
    </row>
    <row r="114" ht="15.75" customHeight="1">
      <c r="C114" s="4" t="n"/>
    </row>
    <row r="115" ht="15.75" customHeight="1">
      <c r="C115" s="4" t="n"/>
    </row>
    <row r="116" ht="15.75" customHeight="1">
      <c r="C116" s="4" t="n"/>
    </row>
    <row r="117" ht="15.75" customHeight="1">
      <c r="C117" s="4" t="n"/>
    </row>
    <row r="118" ht="15.75" customHeight="1">
      <c r="C118" s="4" t="n"/>
    </row>
    <row r="119" ht="15.75" customHeight="1">
      <c r="C119" s="4" t="n"/>
    </row>
    <row r="120" ht="15.75" customHeight="1">
      <c r="C120" s="4" t="n"/>
    </row>
    <row r="121" ht="15.75" customHeight="1">
      <c r="C121" s="4" t="n"/>
    </row>
    <row r="122" ht="15.75" customHeight="1">
      <c r="C122" s="4" t="n"/>
    </row>
    <row r="123" ht="15.75" customHeight="1">
      <c r="C123" s="4" t="n"/>
    </row>
    <row r="124" ht="15.75" customHeight="1">
      <c r="C124" s="4" t="n"/>
    </row>
    <row r="125" ht="15.75" customHeight="1">
      <c r="C125" s="4" t="n"/>
    </row>
    <row r="126" ht="15.75" customHeight="1">
      <c r="C126" s="4" t="n"/>
    </row>
    <row r="127" ht="15.75" customHeight="1">
      <c r="C127" s="4" t="n"/>
    </row>
    <row r="128" ht="15.75" customHeight="1">
      <c r="C128" s="4" t="n"/>
    </row>
    <row r="129" ht="15.75" customHeight="1">
      <c r="C129" s="4" t="n"/>
    </row>
    <row r="130" ht="15.75" customHeight="1">
      <c r="C130" s="4" t="n"/>
    </row>
    <row r="131" ht="15.75" customHeight="1">
      <c r="C131" s="4" t="n"/>
    </row>
    <row r="132" ht="15.75" customHeight="1">
      <c r="C132" s="4" t="n"/>
    </row>
    <row r="133" ht="15.75" customHeight="1">
      <c r="C133" s="4" t="n"/>
    </row>
    <row r="134" ht="15.75" customHeight="1">
      <c r="C134" s="4" t="n"/>
    </row>
    <row r="135" ht="15.75" customHeight="1">
      <c r="C135" s="4" t="n"/>
    </row>
    <row r="136" ht="15.75" customHeight="1">
      <c r="C136" s="4" t="n"/>
    </row>
    <row r="137" ht="15.75" customHeight="1">
      <c r="C137" s="4" t="n"/>
    </row>
    <row r="138" ht="15.75" customHeight="1">
      <c r="C138" s="4" t="n"/>
    </row>
    <row r="139" ht="15.75" customHeight="1">
      <c r="C139" s="4" t="n"/>
    </row>
    <row r="140" ht="15.75" customHeight="1">
      <c r="C140" s="4" t="n"/>
    </row>
    <row r="141" ht="15.75" customHeight="1">
      <c r="C141" s="4" t="n"/>
    </row>
    <row r="142" ht="15.75" customHeight="1">
      <c r="C142" s="4" t="n"/>
    </row>
    <row r="143" ht="15.75" customHeight="1">
      <c r="C143" s="4" t="n"/>
    </row>
    <row r="144" ht="15.75" customHeight="1">
      <c r="C144" s="4" t="n"/>
    </row>
    <row r="145" ht="15.75" customHeight="1">
      <c r="C145" s="4" t="n"/>
    </row>
    <row r="146" ht="15.75" customHeight="1">
      <c r="C146" s="4" t="n"/>
    </row>
    <row r="147" ht="15.75" customHeight="1">
      <c r="C147" s="4" t="n"/>
    </row>
    <row r="148" ht="15.75" customHeight="1">
      <c r="C148" s="4" t="n"/>
    </row>
    <row r="149" ht="15.75" customHeight="1">
      <c r="C149" s="4" t="n"/>
    </row>
    <row r="150" ht="15.75" customHeight="1">
      <c r="C150" s="4" t="n"/>
    </row>
    <row r="151" ht="15.75" customHeight="1">
      <c r="C151" s="4" t="n"/>
    </row>
    <row r="152" ht="15.75" customHeight="1">
      <c r="C152" s="4" t="n"/>
    </row>
    <row r="153" ht="15.75" customHeight="1">
      <c r="C153" s="4" t="n"/>
    </row>
    <row r="154" ht="15.75" customHeight="1">
      <c r="C154" s="4" t="n"/>
    </row>
    <row r="155" ht="15.75" customHeight="1">
      <c r="C155" s="4" t="n"/>
    </row>
    <row r="156" ht="15.75" customHeight="1">
      <c r="C156" s="4" t="n"/>
    </row>
    <row r="157" ht="15.75" customHeight="1">
      <c r="C157" s="4" t="n"/>
    </row>
    <row r="158" ht="15.75" customHeight="1">
      <c r="C158" s="4" t="n"/>
    </row>
    <row r="159" ht="15.75" customHeight="1">
      <c r="C159" s="4" t="n"/>
    </row>
    <row r="160" ht="15.75" customHeight="1">
      <c r="C160" s="4" t="n"/>
    </row>
    <row r="161" ht="15.75" customHeight="1">
      <c r="C161" s="4" t="n"/>
    </row>
    <row r="162" ht="15.75" customHeight="1">
      <c r="C162" s="4" t="n"/>
    </row>
    <row r="163" ht="15.75" customHeight="1">
      <c r="C163" s="4" t="n"/>
    </row>
    <row r="164" ht="15.75" customHeight="1">
      <c r="C164" s="4" t="n"/>
    </row>
    <row r="165" ht="15.75" customHeight="1">
      <c r="C165" s="4" t="n"/>
    </row>
    <row r="166" ht="15.75" customHeight="1">
      <c r="C166" s="4" t="n"/>
    </row>
    <row r="167" ht="15.75" customHeight="1">
      <c r="C167" s="4" t="n"/>
    </row>
    <row r="168" ht="15.75" customHeight="1">
      <c r="C168" s="4" t="n"/>
    </row>
    <row r="169" ht="15.75" customHeight="1">
      <c r="C169" s="4" t="n"/>
    </row>
    <row r="170" ht="15.75" customHeight="1">
      <c r="C170" s="4" t="n"/>
    </row>
    <row r="171" ht="15.75" customHeight="1">
      <c r="C171" s="4" t="n"/>
    </row>
    <row r="172" ht="15.75" customHeight="1">
      <c r="C172" s="4" t="n"/>
    </row>
    <row r="173" ht="15.75" customHeight="1">
      <c r="C173" s="4" t="n"/>
    </row>
    <row r="174" ht="15.75" customHeight="1">
      <c r="C174" s="4" t="n"/>
    </row>
    <row r="175" ht="15.75" customHeight="1">
      <c r="C175" s="4" t="n"/>
    </row>
    <row r="176" ht="15.75" customHeight="1">
      <c r="C176" s="4" t="n"/>
    </row>
    <row r="177" ht="15.75" customHeight="1">
      <c r="C177" s="4" t="n"/>
    </row>
    <row r="178" ht="15.75" customHeight="1">
      <c r="C178" s="4" t="n"/>
    </row>
    <row r="179" ht="15.75" customHeight="1">
      <c r="C179" s="4" t="n"/>
    </row>
    <row r="180" ht="15.75" customHeight="1">
      <c r="C180" s="4" t="n"/>
    </row>
    <row r="181" ht="15.75" customHeight="1">
      <c r="C181" s="4" t="n"/>
    </row>
    <row r="182" ht="15.75" customHeight="1">
      <c r="C182" s="4" t="n"/>
    </row>
    <row r="183" ht="15.75" customHeight="1">
      <c r="C183" s="4" t="n"/>
    </row>
    <row r="184" ht="15.75" customHeight="1">
      <c r="C184" s="4" t="n"/>
    </row>
    <row r="185" ht="15.75" customHeight="1">
      <c r="C185" s="4" t="n"/>
    </row>
    <row r="186" ht="15.75" customHeight="1">
      <c r="C186" s="4" t="n"/>
    </row>
    <row r="187" ht="15.75" customHeight="1">
      <c r="C187" s="4" t="n"/>
    </row>
    <row r="188" ht="15.75" customHeight="1">
      <c r="C188" s="4" t="n"/>
    </row>
    <row r="189" ht="15.75" customHeight="1">
      <c r="C189" s="4" t="n"/>
    </row>
    <row r="190" ht="15.75" customHeight="1">
      <c r="C190" s="4" t="n"/>
    </row>
    <row r="191" ht="15.75" customHeight="1">
      <c r="C191" s="4" t="n"/>
    </row>
    <row r="192" ht="15.75" customHeight="1">
      <c r="C192" s="4" t="n"/>
    </row>
    <row r="193" ht="15.75" customHeight="1">
      <c r="C193" s="4" t="n"/>
    </row>
    <row r="194" ht="15.75" customHeight="1">
      <c r="C194" s="4" t="n"/>
    </row>
    <row r="195" ht="15.75" customHeight="1">
      <c r="C195" s="4" t="n"/>
    </row>
    <row r="196" ht="15.75" customHeight="1">
      <c r="C196" s="4" t="n"/>
    </row>
    <row r="197" ht="15.75" customHeight="1">
      <c r="C197" s="4" t="n"/>
    </row>
    <row r="198" ht="15.75" customHeight="1">
      <c r="C198" s="4" t="n"/>
    </row>
    <row r="199" ht="15.75" customHeight="1">
      <c r="C199" s="4" t="n"/>
    </row>
    <row r="200" ht="15.75" customHeight="1">
      <c r="C200" s="4" t="n"/>
    </row>
    <row r="201" ht="15.75" customHeight="1">
      <c r="C201" s="4" t="n"/>
    </row>
    <row r="202" ht="15.75" customHeight="1">
      <c r="C202" s="4" t="n"/>
    </row>
    <row r="203" ht="15.75" customHeight="1">
      <c r="C203" s="4" t="n"/>
    </row>
    <row r="204" ht="15.75" customHeight="1">
      <c r="C204" s="4" t="n"/>
    </row>
    <row r="205" ht="15.75" customHeight="1">
      <c r="C205" s="4" t="n"/>
    </row>
    <row r="206" ht="15.75" customHeight="1">
      <c r="C206" s="4" t="n"/>
    </row>
    <row r="207" ht="15.75" customHeight="1">
      <c r="C207" s="4" t="n"/>
    </row>
    <row r="208" ht="15.75" customHeight="1">
      <c r="C208" s="4" t="n"/>
    </row>
    <row r="209" ht="15.75" customHeight="1">
      <c r="C209" s="4" t="n"/>
    </row>
    <row r="210" ht="15.75" customHeight="1">
      <c r="C210" s="4" t="n"/>
    </row>
    <row r="211" ht="15.75" customHeight="1">
      <c r="C211" s="4" t="n"/>
    </row>
    <row r="212" ht="15.75" customHeight="1">
      <c r="C212" s="4" t="n"/>
    </row>
    <row r="213" ht="15.75" customHeight="1">
      <c r="C213" s="4" t="n"/>
    </row>
    <row r="214" ht="15.75" customHeight="1">
      <c r="C214" s="4" t="n"/>
    </row>
    <row r="215" ht="15.75" customHeight="1">
      <c r="C215" s="4" t="n"/>
    </row>
    <row r="216" ht="15.75" customHeight="1">
      <c r="C216" s="4" t="n"/>
    </row>
    <row r="217" ht="15.75" customHeight="1">
      <c r="C217" s="4" t="n"/>
    </row>
    <row r="218" ht="15.75" customHeight="1">
      <c r="C218" s="4" t="n"/>
    </row>
    <row r="219" ht="15.75" customHeight="1">
      <c r="C219" s="4" t="n"/>
    </row>
    <row r="220" ht="15.75" customHeight="1">
      <c r="C220" s="4" t="n"/>
    </row>
    <row r="221" ht="15.75" customHeight="1">
      <c r="C221" s="4" t="n"/>
    </row>
    <row r="222" ht="15.75" customHeight="1">
      <c r="C222" s="4" t="n"/>
    </row>
    <row r="223" ht="15.75" customHeight="1">
      <c r="C223" s="4" t="n"/>
    </row>
    <row r="224" ht="15.75" customHeight="1">
      <c r="C224" s="4" t="n"/>
    </row>
    <row r="225" ht="15.75" customHeight="1">
      <c r="C225" s="4" t="n"/>
    </row>
    <row r="226" ht="15.75" customHeight="1">
      <c r="C226" s="4" t="n"/>
    </row>
    <row r="227" ht="15.75" customHeight="1">
      <c r="C227" s="4" t="n"/>
    </row>
    <row r="228" ht="15.75" customHeight="1">
      <c r="C228" s="4" t="n"/>
    </row>
    <row r="229" ht="15.75" customHeight="1">
      <c r="C229" s="4" t="n"/>
    </row>
    <row r="230" ht="15.75" customHeight="1">
      <c r="C230" s="4" t="n"/>
    </row>
    <row r="231" ht="15.75" customHeight="1">
      <c r="C231" s="4" t="n"/>
    </row>
    <row r="232" ht="15.75" customHeight="1">
      <c r="C232" s="4" t="n"/>
    </row>
    <row r="233" ht="15.75" customHeight="1">
      <c r="C233" s="4" t="n"/>
    </row>
    <row r="234" ht="15.75" customHeight="1">
      <c r="C234" s="4" t="n"/>
    </row>
    <row r="235" ht="15.75" customHeight="1">
      <c r="C235" s="4" t="n"/>
    </row>
    <row r="236" ht="15.75" customHeight="1">
      <c r="C236" s="4" t="n"/>
    </row>
    <row r="237" ht="15.75" customHeight="1">
      <c r="C237" s="4" t="n"/>
    </row>
    <row r="238" ht="15.75" customHeight="1">
      <c r="C238" s="4" t="n"/>
    </row>
    <row r="239" ht="15.75" customHeight="1">
      <c r="C239" s="4" t="n"/>
    </row>
    <row r="240" ht="15.75" customHeight="1">
      <c r="C240" s="4" t="n"/>
    </row>
    <row r="241" ht="15.75" customHeight="1">
      <c r="C241" s="4" t="n"/>
    </row>
    <row r="242" ht="15.75" customHeight="1">
      <c r="C242" s="4" t="n"/>
    </row>
    <row r="243" ht="15.75" customHeight="1">
      <c r="C243" s="4" t="n"/>
    </row>
    <row r="244" ht="15.75" customHeight="1">
      <c r="C244" s="4" t="n"/>
    </row>
    <row r="245" ht="15.75" customHeight="1">
      <c r="C245" s="4" t="n"/>
    </row>
    <row r="246" ht="15.75" customHeight="1">
      <c r="C246" s="4" t="n"/>
    </row>
    <row r="247" ht="15.75" customHeight="1">
      <c r="C247" s="4" t="n"/>
    </row>
    <row r="248" ht="15.75" customHeight="1">
      <c r="C248" s="4" t="n"/>
    </row>
    <row r="249" ht="15.75" customHeight="1">
      <c r="C249" s="4" t="n"/>
    </row>
    <row r="250" ht="15.75" customHeight="1">
      <c r="C250" s="4" t="n"/>
    </row>
    <row r="251" ht="15.75" customHeight="1">
      <c r="C251" s="4" t="n"/>
    </row>
    <row r="252" ht="15.75" customHeight="1">
      <c r="C252" s="4" t="n"/>
    </row>
    <row r="253" ht="15.75" customHeight="1">
      <c r="C253" s="4" t="n"/>
    </row>
    <row r="254" ht="15.75" customHeight="1">
      <c r="C254" s="4" t="n"/>
    </row>
    <row r="255" ht="15.75" customHeight="1">
      <c r="C255" s="4" t="n"/>
    </row>
    <row r="256" ht="15.75" customHeight="1">
      <c r="C256" s="4" t="n"/>
    </row>
    <row r="257" ht="15.75" customHeight="1">
      <c r="C257" s="4" t="n"/>
    </row>
    <row r="258" ht="15.75" customHeight="1">
      <c r="C258" s="4" t="n"/>
    </row>
    <row r="259" ht="15.75" customHeight="1">
      <c r="C259" s="4" t="n"/>
    </row>
    <row r="260" ht="15.75" customHeight="1">
      <c r="C260" s="4" t="n"/>
    </row>
    <row r="261" ht="15.75" customHeight="1">
      <c r="C261" s="4" t="n"/>
    </row>
    <row r="262" ht="15.75" customHeight="1">
      <c r="C262" s="4" t="n"/>
    </row>
    <row r="263" ht="15.75" customHeight="1">
      <c r="C263" s="4" t="n"/>
    </row>
    <row r="264" ht="15.75" customHeight="1">
      <c r="C264" s="4" t="n"/>
    </row>
    <row r="265" ht="15.75" customHeight="1">
      <c r="C265" s="4" t="n"/>
    </row>
    <row r="266" ht="15.75" customHeight="1">
      <c r="C266" s="4" t="n"/>
    </row>
    <row r="267" ht="15.75" customHeight="1">
      <c r="C267" s="4" t="n"/>
    </row>
    <row r="268" ht="15.75" customHeight="1">
      <c r="C268" s="4" t="n"/>
    </row>
    <row r="269" ht="15.75" customHeight="1">
      <c r="C269" s="4" t="n"/>
    </row>
    <row r="270" ht="15.75" customHeight="1">
      <c r="C270" s="4" t="n"/>
    </row>
    <row r="271" ht="15.75" customHeight="1">
      <c r="C271" s="4" t="n"/>
    </row>
    <row r="272" ht="15.75" customHeight="1">
      <c r="C272" s="4" t="n"/>
    </row>
    <row r="273" ht="15.75" customHeight="1">
      <c r="C273" s="4" t="n"/>
    </row>
    <row r="274" ht="15.75" customHeight="1">
      <c r="C274" s="4" t="n"/>
    </row>
    <row r="275" ht="15.75" customHeight="1">
      <c r="C275" s="4" t="n"/>
    </row>
    <row r="276" ht="15.75" customHeight="1">
      <c r="C276" s="4" t="n"/>
    </row>
    <row r="277" ht="15.75" customHeight="1">
      <c r="C277" s="4" t="n"/>
    </row>
    <row r="278" ht="15.75" customHeight="1">
      <c r="C278" s="4" t="n"/>
    </row>
    <row r="279" ht="15.75" customHeight="1">
      <c r="C279" s="4" t="n"/>
    </row>
    <row r="280" ht="15.75" customHeight="1">
      <c r="C280" s="4" t="n"/>
    </row>
    <row r="281" ht="15.75" customHeight="1">
      <c r="C281" s="4" t="n"/>
    </row>
    <row r="282" ht="15.75" customHeight="1">
      <c r="C282" s="4" t="n"/>
    </row>
    <row r="283" ht="15.75" customHeight="1">
      <c r="C283" s="4" t="n"/>
    </row>
    <row r="284" ht="15.75" customHeight="1">
      <c r="C284" s="4" t="n"/>
    </row>
    <row r="285" ht="15.75" customHeight="1">
      <c r="C285" s="4" t="n"/>
    </row>
    <row r="286" ht="15.75" customHeight="1">
      <c r="C286" s="4" t="n"/>
    </row>
    <row r="287" ht="15.75" customHeight="1">
      <c r="C287" s="4" t="n"/>
    </row>
    <row r="288" ht="15.75" customHeight="1">
      <c r="C288" s="4" t="n"/>
    </row>
    <row r="289" ht="15.75" customHeight="1">
      <c r="C289" s="4" t="n"/>
    </row>
    <row r="290" ht="15.75" customHeight="1">
      <c r="C290" s="4" t="n"/>
    </row>
    <row r="291" ht="15.75" customHeight="1">
      <c r="C291" s="4" t="n"/>
    </row>
    <row r="292" ht="15.75" customHeight="1">
      <c r="C292" s="4" t="n"/>
    </row>
    <row r="293" ht="15.75" customHeight="1">
      <c r="C293" s="4" t="n"/>
    </row>
    <row r="294" ht="15.75" customHeight="1">
      <c r="C294" s="4" t="n"/>
    </row>
    <row r="295" ht="15.75" customHeight="1">
      <c r="C295" s="4" t="n"/>
    </row>
    <row r="296" ht="15.75" customHeight="1">
      <c r="C296" s="4" t="n"/>
    </row>
    <row r="297" ht="15.75" customHeight="1">
      <c r="C297" s="4" t="n"/>
    </row>
    <row r="298" ht="15.75" customHeight="1">
      <c r="C298" s="4" t="n"/>
    </row>
    <row r="299" ht="15.75" customHeight="1">
      <c r="C299" s="4" t="n"/>
    </row>
    <row r="300" ht="15.75" customHeight="1">
      <c r="C300" s="4" t="n"/>
    </row>
    <row r="301" ht="15.75" customHeight="1">
      <c r="C301" s="4" t="n"/>
    </row>
    <row r="302" ht="15.75" customHeight="1">
      <c r="C302" s="4" t="n"/>
    </row>
    <row r="303" ht="15.75" customHeight="1">
      <c r="C303" s="4" t="n"/>
    </row>
    <row r="304" ht="15.75" customHeight="1">
      <c r="C304" s="4" t="n"/>
    </row>
    <row r="305" ht="15.75" customHeight="1">
      <c r="C305" s="4" t="n"/>
    </row>
    <row r="306" ht="15.75" customHeight="1">
      <c r="C306" s="4" t="n"/>
    </row>
    <row r="307" ht="15.75" customHeight="1">
      <c r="C307" s="4" t="n"/>
    </row>
    <row r="308" ht="15.75" customHeight="1">
      <c r="C308" s="4" t="n"/>
    </row>
    <row r="309" ht="15.75" customHeight="1">
      <c r="C309" s="4" t="n"/>
    </row>
    <row r="310" ht="15.75" customHeight="1">
      <c r="C310" s="4" t="n"/>
    </row>
    <row r="311" ht="15.75" customHeight="1">
      <c r="C311" s="4" t="n"/>
    </row>
    <row r="312" ht="15.75" customHeight="1">
      <c r="C312" s="4" t="n"/>
    </row>
    <row r="313" ht="15.75" customHeight="1">
      <c r="C313" s="4" t="n"/>
    </row>
    <row r="314" ht="15.75" customHeight="1">
      <c r="C314" s="4" t="n"/>
    </row>
    <row r="315" ht="15.75" customHeight="1">
      <c r="C315" s="4" t="n"/>
    </row>
    <row r="316" ht="15.75" customHeight="1">
      <c r="C316" s="4" t="n"/>
    </row>
    <row r="317" ht="15.75" customHeight="1">
      <c r="C317" s="4" t="n"/>
    </row>
    <row r="318" ht="15.75" customHeight="1">
      <c r="C318" s="4" t="n"/>
    </row>
    <row r="319" ht="15.75" customHeight="1">
      <c r="C319" s="4" t="n"/>
    </row>
    <row r="320" ht="15.75" customHeight="1">
      <c r="C320" s="4" t="n"/>
    </row>
    <row r="321" ht="15.75" customHeight="1">
      <c r="C321" s="4" t="n"/>
    </row>
    <row r="322" ht="15.75" customHeight="1">
      <c r="C322" s="4" t="n"/>
    </row>
    <row r="323" ht="15.75" customHeight="1">
      <c r="C323" s="4" t="n"/>
    </row>
    <row r="324" ht="15.75" customHeight="1">
      <c r="C324" s="4" t="n"/>
    </row>
    <row r="325" ht="15.75" customHeight="1">
      <c r="C325" s="4" t="n"/>
    </row>
    <row r="326" ht="15.75" customHeight="1">
      <c r="C326" s="4" t="n"/>
    </row>
    <row r="327" ht="15.75" customHeight="1">
      <c r="C327" s="4" t="n"/>
    </row>
    <row r="328" ht="15.75" customHeight="1">
      <c r="C328" s="4" t="n"/>
    </row>
    <row r="329" ht="15.75" customHeight="1">
      <c r="C329" s="4" t="n"/>
    </row>
    <row r="330" ht="15.75" customHeight="1">
      <c r="C330" s="4" t="n"/>
    </row>
    <row r="331" ht="15.75" customHeight="1">
      <c r="C331" s="4" t="n"/>
    </row>
    <row r="332" ht="15.75" customHeight="1">
      <c r="C332" s="4" t="n"/>
    </row>
    <row r="333" ht="15.75" customHeight="1">
      <c r="C333" s="4" t="n"/>
    </row>
    <row r="334" ht="15.75" customHeight="1">
      <c r="C334" s="4" t="n"/>
    </row>
    <row r="335" ht="15.75" customHeight="1">
      <c r="C335" s="4" t="n"/>
    </row>
    <row r="336" ht="15.75" customHeight="1">
      <c r="C336" s="4" t="n"/>
    </row>
    <row r="337" ht="15.75" customHeight="1">
      <c r="C337" s="4" t="n"/>
    </row>
    <row r="338" ht="15.75" customHeight="1">
      <c r="C338" s="4" t="n"/>
    </row>
    <row r="339" ht="15.75" customHeight="1">
      <c r="C339" s="4" t="n"/>
    </row>
    <row r="340" ht="15.75" customHeight="1">
      <c r="C340" s="4" t="n"/>
    </row>
    <row r="341" ht="15.75" customHeight="1">
      <c r="C341" s="4" t="n"/>
    </row>
    <row r="342" ht="15.75" customHeight="1">
      <c r="C342" s="4" t="n"/>
    </row>
    <row r="343" ht="15.75" customHeight="1">
      <c r="C343" s="4" t="n"/>
    </row>
    <row r="344" ht="15.75" customHeight="1">
      <c r="C344" s="4" t="n"/>
    </row>
    <row r="345" ht="15.75" customHeight="1">
      <c r="C345" s="4" t="n"/>
    </row>
    <row r="346" ht="15.75" customHeight="1">
      <c r="C346" s="4" t="n"/>
    </row>
    <row r="347" ht="15.75" customHeight="1">
      <c r="C347" s="4" t="n"/>
    </row>
    <row r="348" ht="15.75" customHeight="1">
      <c r="C348" s="4" t="n"/>
    </row>
    <row r="349" ht="15.75" customHeight="1">
      <c r="C349" s="4" t="n"/>
    </row>
    <row r="350" ht="15.75" customHeight="1">
      <c r="C350" s="4" t="n"/>
    </row>
    <row r="351" ht="15.75" customHeight="1">
      <c r="C351" s="4" t="n"/>
    </row>
    <row r="352" ht="15.75" customHeight="1">
      <c r="C352" s="4" t="n"/>
    </row>
    <row r="353" ht="15.75" customHeight="1">
      <c r="C353" s="4" t="n"/>
    </row>
    <row r="354" ht="15.75" customHeight="1">
      <c r="C354" s="4" t="n"/>
    </row>
    <row r="355" ht="15.75" customHeight="1">
      <c r="C355" s="4" t="n"/>
    </row>
    <row r="356" ht="15.75" customHeight="1">
      <c r="C356" s="4" t="n"/>
    </row>
    <row r="357" ht="15.75" customHeight="1">
      <c r="C357" s="4" t="n"/>
    </row>
    <row r="358" ht="15.75" customHeight="1">
      <c r="C358" s="4" t="n"/>
    </row>
    <row r="359" ht="15.75" customHeight="1">
      <c r="C359" s="4" t="n"/>
    </row>
    <row r="360" ht="15.75" customHeight="1">
      <c r="C360" s="4" t="n"/>
    </row>
    <row r="361" ht="15.75" customHeight="1">
      <c r="C361" s="4" t="n"/>
    </row>
    <row r="362" ht="15.75" customHeight="1">
      <c r="C362" s="4" t="n"/>
    </row>
    <row r="363" ht="15.75" customHeight="1">
      <c r="C363" s="4" t="n"/>
    </row>
    <row r="364" ht="15.75" customHeight="1">
      <c r="C364" s="4" t="n"/>
    </row>
    <row r="365" ht="15.75" customHeight="1">
      <c r="C365" s="4" t="n"/>
    </row>
    <row r="366" ht="15.75" customHeight="1">
      <c r="C366" s="4" t="n"/>
    </row>
    <row r="367" ht="15.75" customHeight="1">
      <c r="C367" s="4" t="n"/>
    </row>
    <row r="368" ht="15.75" customHeight="1">
      <c r="C368" s="4" t="n"/>
    </row>
    <row r="369" ht="15.75" customHeight="1">
      <c r="C369" s="4" t="n"/>
    </row>
    <row r="370" ht="15.75" customHeight="1">
      <c r="C370" s="4" t="n"/>
    </row>
    <row r="371" ht="15.75" customHeight="1">
      <c r="C371" s="4" t="n"/>
    </row>
    <row r="372" ht="15.75" customHeight="1">
      <c r="C372" s="4" t="n"/>
    </row>
    <row r="373" ht="15.75" customHeight="1">
      <c r="C373" s="4" t="n"/>
    </row>
    <row r="374" ht="15.75" customHeight="1">
      <c r="C374" s="4" t="n"/>
    </row>
    <row r="375" ht="15.75" customHeight="1">
      <c r="C375" s="4" t="n"/>
    </row>
    <row r="376" ht="15.75" customHeight="1">
      <c r="C376" s="4" t="n"/>
    </row>
    <row r="377" ht="15.75" customHeight="1">
      <c r="C377" s="4" t="n"/>
    </row>
    <row r="378" ht="15.75" customHeight="1">
      <c r="C378" s="4" t="n"/>
    </row>
    <row r="379" ht="15.75" customHeight="1">
      <c r="C379" s="4" t="n"/>
    </row>
    <row r="380" ht="15.75" customHeight="1">
      <c r="C380" s="4" t="n"/>
    </row>
    <row r="381" ht="15.75" customHeight="1">
      <c r="C381" s="4" t="n"/>
    </row>
    <row r="382" ht="15.75" customHeight="1">
      <c r="C382" s="4" t="n"/>
    </row>
    <row r="383" ht="15.75" customHeight="1">
      <c r="C383" s="4" t="n"/>
    </row>
    <row r="384" ht="15.75" customHeight="1">
      <c r="C384" s="4" t="n"/>
    </row>
    <row r="385" ht="15.75" customHeight="1">
      <c r="C385" s="4" t="n"/>
    </row>
    <row r="386" ht="15.75" customHeight="1">
      <c r="C386" s="4" t="n"/>
    </row>
    <row r="387" ht="15.75" customHeight="1">
      <c r="C387" s="4" t="n"/>
    </row>
    <row r="388" ht="15.75" customHeight="1">
      <c r="C388" s="4" t="n"/>
    </row>
    <row r="389" ht="15.75" customHeight="1">
      <c r="C389" s="4" t="n"/>
    </row>
    <row r="390" ht="15.75" customHeight="1">
      <c r="C390" s="4" t="n"/>
    </row>
    <row r="391" ht="15.75" customHeight="1">
      <c r="C391" s="4" t="n"/>
    </row>
    <row r="392" ht="15.75" customHeight="1">
      <c r="C392" s="4" t="n"/>
    </row>
    <row r="393" ht="15.75" customHeight="1">
      <c r="C393" s="4" t="n"/>
    </row>
    <row r="394" ht="15.75" customHeight="1">
      <c r="C394" s="4" t="n"/>
    </row>
    <row r="395" ht="15.75" customHeight="1">
      <c r="C395" s="4" t="n"/>
    </row>
    <row r="396" ht="15.75" customHeight="1">
      <c r="C396" s="4" t="n"/>
    </row>
    <row r="397" ht="15.75" customHeight="1">
      <c r="C397" s="4" t="n"/>
    </row>
    <row r="398" ht="15.75" customHeight="1">
      <c r="C398" s="4" t="n"/>
    </row>
    <row r="399" ht="15.75" customHeight="1">
      <c r="C399" s="4" t="n"/>
    </row>
    <row r="400" ht="15.75" customHeight="1">
      <c r="C400" s="4" t="n"/>
    </row>
    <row r="401" ht="15.75" customHeight="1">
      <c r="C401" s="4" t="n"/>
    </row>
    <row r="402" ht="15.75" customHeight="1">
      <c r="C402" s="4" t="n"/>
    </row>
    <row r="403" ht="15.75" customHeight="1">
      <c r="C403" s="4" t="n"/>
    </row>
    <row r="404" ht="15.75" customHeight="1">
      <c r="C404" s="4" t="n"/>
    </row>
    <row r="405" ht="15.75" customHeight="1">
      <c r="C405" s="4" t="n"/>
    </row>
    <row r="406" ht="15.75" customHeight="1">
      <c r="C406" s="4" t="n"/>
    </row>
    <row r="407" ht="15.75" customHeight="1">
      <c r="C407" s="4" t="n"/>
    </row>
    <row r="408" ht="15.75" customHeight="1">
      <c r="C408" s="4" t="n"/>
    </row>
    <row r="409" ht="15.75" customHeight="1">
      <c r="C409" s="4" t="n"/>
    </row>
    <row r="410" ht="15.75" customHeight="1">
      <c r="C410" s="4" t="n"/>
    </row>
    <row r="411" ht="15.75" customHeight="1">
      <c r="C411" s="4" t="n"/>
    </row>
    <row r="412" ht="15.75" customHeight="1">
      <c r="C412" s="4" t="n"/>
    </row>
    <row r="413" ht="15.75" customHeight="1">
      <c r="C413" s="4" t="n"/>
    </row>
    <row r="414" ht="15.75" customHeight="1">
      <c r="C414" s="4" t="n"/>
    </row>
    <row r="415" ht="15.75" customHeight="1">
      <c r="C415" s="4" t="n"/>
    </row>
    <row r="416" ht="15.75" customHeight="1">
      <c r="C416" s="4" t="n"/>
    </row>
    <row r="417" ht="15.75" customHeight="1">
      <c r="C417" s="4" t="n"/>
    </row>
    <row r="418" ht="15.75" customHeight="1">
      <c r="C418" s="4" t="n"/>
    </row>
    <row r="419" ht="15.75" customHeight="1">
      <c r="C419" s="4" t="n"/>
    </row>
    <row r="420" ht="15.75" customHeight="1">
      <c r="C420" s="4" t="n"/>
    </row>
    <row r="421" ht="15.75" customHeight="1">
      <c r="C421" s="4" t="n"/>
    </row>
    <row r="422" ht="15.75" customHeight="1">
      <c r="C422" s="4" t="n"/>
    </row>
    <row r="423" ht="15.75" customHeight="1">
      <c r="C423" s="4" t="n"/>
    </row>
    <row r="424" ht="15.75" customHeight="1">
      <c r="C424" s="4" t="n"/>
    </row>
    <row r="425" ht="15.75" customHeight="1">
      <c r="C425" s="4" t="n"/>
    </row>
    <row r="426" ht="15.75" customHeight="1">
      <c r="C426" s="4" t="n"/>
    </row>
    <row r="427" ht="15.75" customHeight="1">
      <c r="C427" s="4" t="n"/>
    </row>
    <row r="428" ht="15.75" customHeight="1">
      <c r="C428" s="4" t="n"/>
    </row>
    <row r="429" ht="15.75" customHeight="1">
      <c r="C429" s="4" t="n"/>
    </row>
    <row r="430" ht="15.75" customHeight="1">
      <c r="C430" s="4" t="n"/>
    </row>
    <row r="431" ht="15.75" customHeight="1">
      <c r="C431" s="4" t="n"/>
    </row>
    <row r="432" ht="15.75" customHeight="1">
      <c r="C432" s="4" t="n"/>
    </row>
    <row r="433" ht="15.75" customHeight="1">
      <c r="C433" s="4" t="n"/>
    </row>
    <row r="434" ht="15.75" customHeight="1">
      <c r="C434" s="4" t="n"/>
    </row>
    <row r="435" ht="15.75" customHeight="1">
      <c r="C435" s="4" t="n"/>
    </row>
    <row r="436" ht="15.75" customHeight="1">
      <c r="C436" s="4" t="n"/>
    </row>
    <row r="437" ht="15.75" customHeight="1">
      <c r="C437" s="4" t="n"/>
    </row>
    <row r="438" ht="15.75" customHeight="1">
      <c r="C438" s="4" t="n"/>
    </row>
    <row r="439" ht="15.75" customHeight="1">
      <c r="C439" s="4" t="n"/>
    </row>
    <row r="440" ht="15.75" customHeight="1">
      <c r="C440" s="4" t="n"/>
    </row>
    <row r="441" ht="15.75" customHeight="1">
      <c r="C441" s="4" t="n"/>
    </row>
    <row r="442" ht="15.75" customHeight="1">
      <c r="C442" s="4" t="n"/>
    </row>
    <row r="443" ht="15.75" customHeight="1">
      <c r="C443" s="4" t="n"/>
    </row>
    <row r="444" ht="15.75" customHeight="1">
      <c r="C444" s="4" t="n"/>
    </row>
    <row r="445" ht="15.75" customHeight="1">
      <c r="C445" s="4" t="n"/>
    </row>
    <row r="446" ht="15.75" customHeight="1">
      <c r="C446" s="4" t="n"/>
    </row>
    <row r="447" ht="15.75" customHeight="1">
      <c r="C447" s="4" t="n"/>
    </row>
    <row r="448" ht="15.75" customHeight="1">
      <c r="C448" s="4" t="n"/>
    </row>
    <row r="449" ht="15.75" customHeight="1">
      <c r="C449" s="4" t="n"/>
    </row>
    <row r="450" ht="15.75" customHeight="1">
      <c r="C450" s="4" t="n"/>
    </row>
    <row r="451" ht="15.75" customHeight="1">
      <c r="C451" s="4" t="n"/>
    </row>
    <row r="452" ht="15.75" customHeight="1">
      <c r="C452" s="4" t="n"/>
    </row>
    <row r="453" ht="15.75" customHeight="1">
      <c r="C453" s="4" t="n"/>
    </row>
    <row r="454" ht="15.75" customHeight="1">
      <c r="C454" s="4" t="n"/>
    </row>
    <row r="455" ht="15.75" customHeight="1">
      <c r="C455" s="4" t="n"/>
    </row>
    <row r="456" ht="15.75" customHeight="1">
      <c r="C456" s="4" t="n"/>
    </row>
    <row r="457" ht="15.75" customHeight="1">
      <c r="C457" s="4" t="n"/>
    </row>
    <row r="458" ht="15.75" customHeight="1">
      <c r="C458" s="4" t="n"/>
    </row>
    <row r="459" ht="15.75" customHeight="1">
      <c r="C459" s="4" t="n"/>
    </row>
    <row r="460" ht="15.75" customHeight="1">
      <c r="C460" s="4" t="n"/>
    </row>
    <row r="461" ht="15.75" customHeight="1">
      <c r="C461" s="4" t="n"/>
    </row>
    <row r="462" ht="15.75" customHeight="1">
      <c r="C462" s="4" t="n"/>
    </row>
    <row r="463" ht="15.75" customHeight="1">
      <c r="C463" s="4" t="n"/>
    </row>
    <row r="464" ht="15.75" customHeight="1">
      <c r="C464" s="4" t="n"/>
    </row>
    <row r="465" ht="15.75" customHeight="1">
      <c r="C465" s="4" t="n"/>
    </row>
    <row r="466" ht="15.75" customHeight="1">
      <c r="C466" s="4" t="n"/>
    </row>
    <row r="467" ht="15.75" customHeight="1">
      <c r="C467" s="4" t="n"/>
    </row>
    <row r="468" ht="15.75" customHeight="1">
      <c r="C468" s="4" t="n"/>
    </row>
    <row r="469" ht="15.75" customHeight="1">
      <c r="C469" s="4" t="n"/>
    </row>
    <row r="470" ht="15.75" customHeight="1">
      <c r="C470" s="4" t="n"/>
    </row>
    <row r="471" ht="15.75" customHeight="1">
      <c r="C471" s="4" t="n"/>
    </row>
    <row r="472" ht="15.75" customHeight="1">
      <c r="C472" s="4" t="n"/>
    </row>
    <row r="473" ht="15.75" customHeight="1">
      <c r="C473" s="4" t="n"/>
    </row>
    <row r="474" ht="15.75" customHeight="1">
      <c r="C474" s="4" t="n"/>
    </row>
    <row r="475" ht="15.75" customHeight="1">
      <c r="C475" s="4" t="n"/>
    </row>
    <row r="476" ht="15.75" customHeight="1">
      <c r="C476" s="4" t="n"/>
    </row>
    <row r="477" ht="15.75" customHeight="1">
      <c r="C477" s="4" t="n"/>
    </row>
    <row r="478" ht="15.75" customHeight="1">
      <c r="C478" s="4" t="n"/>
    </row>
    <row r="479" ht="15.75" customHeight="1">
      <c r="C479" s="4" t="n"/>
    </row>
    <row r="480" ht="15.75" customHeight="1">
      <c r="C480" s="4" t="n"/>
    </row>
    <row r="481" ht="15.75" customHeight="1">
      <c r="C481" s="4" t="n"/>
    </row>
    <row r="482" ht="15.75" customHeight="1">
      <c r="C482" s="4" t="n"/>
    </row>
    <row r="483" ht="15.75" customHeight="1">
      <c r="C483" s="4" t="n"/>
    </row>
    <row r="484" ht="15.75" customHeight="1">
      <c r="C484" s="4" t="n"/>
    </row>
    <row r="485" ht="15.75" customHeight="1">
      <c r="C485" s="4" t="n"/>
    </row>
    <row r="486" ht="15.75" customHeight="1">
      <c r="C486" s="4" t="n"/>
    </row>
    <row r="487" ht="15.75" customHeight="1">
      <c r="C487" s="4" t="n"/>
    </row>
    <row r="488" ht="15.75" customHeight="1">
      <c r="C488" s="4" t="n"/>
    </row>
    <row r="489" ht="15.75" customHeight="1">
      <c r="C489" s="4" t="n"/>
    </row>
    <row r="490" ht="15.75" customHeight="1">
      <c r="C490" s="4" t="n"/>
    </row>
    <row r="491" ht="15.75" customHeight="1">
      <c r="C491" s="4" t="n"/>
    </row>
    <row r="492" ht="15.75" customHeight="1">
      <c r="C492" s="4" t="n"/>
    </row>
    <row r="493" ht="15.75" customHeight="1">
      <c r="C493" s="4" t="n"/>
    </row>
    <row r="494" ht="15.75" customHeight="1">
      <c r="C494" s="4" t="n"/>
    </row>
    <row r="495" ht="15.75" customHeight="1">
      <c r="C495" s="4" t="n"/>
    </row>
    <row r="496" ht="15.75" customHeight="1">
      <c r="C496" s="4" t="n"/>
    </row>
    <row r="497" ht="15.75" customHeight="1">
      <c r="C497" s="4" t="n"/>
    </row>
    <row r="498" ht="15.75" customHeight="1">
      <c r="C498" s="4" t="n"/>
    </row>
    <row r="499" ht="15.75" customHeight="1">
      <c r="C499" s="4" t="n"/>
    </row>
    <row r="500" ht="15.75" customHeight="1">
      <c r="C500" s="4" t="n"/>
    </row>
    <row r="501" ht="15.75" customHeight="1">
      <c r="C501" s="4" t="n"/>
    </row>
    <row r="502" ht="15.75" customHeight="1">
      <c r="C502" s="4" t="n"/>
    </row>
    <row r="503" ht="15.75" customHeight="1">
      <c r="C503" s="4" t="n"/>
    </row>
    <row r="504" ht="15.75" customHeight="1">
      <c r="C504" s="4" t="n"/>
    </row>
    <row r="505" ht="15.75" customHeight="1">
      <c r="C505" s="4" t="n"/>
    </row>
    <row r="506" ht="15.75" customHeight="1">
      <c r="C506" s="4" t="n"/>
    </row>
    <row r="507" ht="15.75" customHeight="1">
      <c r="C507" s="4" t="n"/>
    </row>
    <row r="508" ht="15.75" customHeight="1">
      <c r="C508" s="4" t="n"/>
    </row>
    <row r="509" ht="15.75" customHeight="1">
      <c r="C509" s="4" t="n"/>
    </row>
    <row r="510" ht="15.75" customHeight="1">
      <c r="C510" s="4" t="n"/>
    </row>
    <row r="511" ht="15.75" customHeight="1">
      <c r="C511" s="4" t="n"/>
    </row>
    <row r="512" ht="15.75" customHeight="1">
      <c r="C512" s="4" t="n"/>
    </row>
    <row r="513" ht="15.75" customHeight="1">
      <c r="C513" s="4" t="n"/>
    </row>
    <row r="514" ht="15.75" customHeight="1">
      <c r="C514" s="4" t="n"/>
    </row>
    <row r="515" ht="15.75" customHeight="1">
      <c r="C515" s="4" t="n"/>
    </row>
    <row r="516" ht="15.75" customHeight="1">
      <c r="C516" s="4" t="n"/>
    </row>
    <row r="517" ht="15.75" customHeight="1">
      <c r="C517" s="4" t="n"/>
    </row>
    <row r="518" ht="15.75" customHeight="1">
      <c r="C518" s="4" t="n"/>
    </row>
    <row r="519" ht="15.75" customHeight="1">
      <c r="C519" s="4" t="n"/>
    </row>
    <row r="520" ht="15.75" customHeight="1">
      <c r="C520" s="4" t="n"/>
    </row>
    <row r="521" ht="15.75" customHeight="1">
      <c r="C521" s="4" t="n"/>
    </row>
    <row r="522" ht="15.75" customHeight="1">
      <c r="C522" s="4" t="n"/>
    </row>
    <row r="523" ht="15.75" customHeight="1">
      <c r="C523" s="4" t="n"/>
    </row>
    <row r="524" ht="15.75" customHeight="1">
      <c r="C524" s="4" t="n"/>
    </row>
    <row r="525" ht="15.75" customHeight="1">
      <c r="C525" s="4" t="n"/>
    </row>
    <row r="526" ht="15.75" customHeight="1">
      <c r="C526" s="4" t="n"/>
    </row>
    <row r="527" ht="15.75" customHeight="1">
      <c r="C527" s="4" t="n"/>
    </row>
    <row r="528" ht="15.75" customHeight="1">
      <c r="C528" s="4" t="n"/>
    </row>
    <row r="529" ht="15.75" customHeight="1">
      <c r="C529" s="4" t="n"/>
    </row>
    <row r="530" ht="15.75" customHeight="1">
      <c r="C530" s="4" t="n"/>
    </row>
    <row r="531" ht="15.75" customHeight="1">
      <c r="C531" s="4" t="n"/>
    </row>
    <row r="532" ht="15.75" customHeight="1">
      <c r="C532" s="4" t="n"/>
    </row>
    <row r="533" ht="15.75" customHeight="1">
      <c r="C533" s="4" t="n"/>
    </row>
    <row r="534" ht="15.75" customHeight="1">
      <c r="C534" s="4" t="n"/>
    </row>
    <row r="535" ht="15.75" customHeight="1">
      <c r="C535" s="4" t="n"/>
    </row>
    <row r="536" ht="15.75" customHeight="1">
      <c r="C536" s="4" t="n"/>
    </row>
    <row r="537" ht="15.75" customHeight="1">
      <c r="C537" s="4" t="n"/>
    </row>
    <row r="538" ht="15.75" customHeight="1">
      <c r="C538" s="4" t="n"/>
    </row>
    <row r="539" ht="15.75" customHeight="1">
      <c r="C539" s="4" t="n"/>
    </row>
    <row r="540" ht="15.75" customHeight="1">
      <c r="C540" s="4" t="n"/>
    </row>
    <row r="541" ht="15.75" customHeight="1">
      <c r="C541" s="4" t="n"/>
    </row>
    <row r="542" ht="15.75" customHeight="1">
      <c r="C542" s="4" t="n"/>
    </row>
    <row r="543" ht="15.75" customHeight="1">
      <c r="C543" s="4" t="n"/>
    </row>
    <row r="544" ht="15.75" customHeight="1">
      <c r="C544" s="4" t="n"/>
    </row>
    <row r="545" ht="15.75" customHeight="1">
      <c r="C545" s="4" t="n"/>
    </row>
    <row r="546" ht="15.75" customHeight="1">
      <c r="C546" s="4" t="n"/>
    </row>
    <row r="547" ht="15.75" customHeight="1">
      <c r="C547" s="4" t="n"/>
    </row>
    <row r="548" ht="15.75" customHeight="1">
      <c r="C548" s="4" t="n"/>
    </row>
    <row r="549" ht="15.75" customHeight="1">
      <c r="C549" s="4" t="n"/>
    </row>
    <row r="550" ht="15.75" customHeight="1">
      <c r="C550" s="4" t="n"/>
    </row>
    <row r="551" ht="15.75" customHeight="1">
      <c r="C551" s="4" t="n"/>
    </row>
    <row r="552" ht="15.75" customHeight="1">
      <c r="C552" s="4" t="n"/>
    </row>
    <row r="553" ht="15.75" customHeight="1">
      <c r="C553" s="4" t="n"/>
    </row>
    <row r="554" ht="15.75" customHeight="1">
      <c r="C554" s="4" t="n"/>
    </row>
    <row r="555" ht="15.75" customHeight="1">
      <c r="C555" s="4" t="n"/>
    </row>
    <row r="556" ht="15.75" customHeight="1">
      <c r="C556" s="4" t="n"/>
    </row>
    <row r="557" ht="15.75" customHeight="1">
      <c r="C557" s="4" t="n"/>
    </row>
    <row r="558" ht="15.75" customHeight="1">
      <c r="C558" s="4" t="n"/>
    </row>
    <row r="559" ht="15.75" customHeight="1">
      <c r="C559" s="4" t="n"/>
    </row>
    <row r="560" ht="15.75" customHeight="1">
      <c r="C560" s="4" t="n"/>
    </row>
    <row r="561" ht="15.75" customHeight="1">
      <c r="C561" s="4" t="n"/>
    </row>
    <row r="562" ht="15.75" customHeight="1">
      <c r="C562" s="4" t="n"/>
    </row>
    <row r="563" ht="15.75" customHeight="1">
      <c r="C563" s="4" t="n"/>
    </row>
    <row r="564" ht="15.75" customHeight="1">
      <c r="C564" s="4" t="n"/>
    </row>
    <row r="565" ht="15.75" customHeight="1">
      <c r="C565" s="4" t="n"/>
    </row>
    <row r="566" ht="15.75" customHeight="1">
      <c r="C566" s="4" t="n"/>
    </row>
    <row r="567" ht="15.75" customHeight="1">
      <c r="C567" s="4" t="n"/>
    </row>
    <row r="568" ht="15.75" customHeight="1">
      <c r="C568" s="4" t="n"/>
    </row>
    <row r="569" ht="15.75" customHeight="1">
      <c r="C569" s="4" t="n"/>
    </row>
    <row r="570" ht="15.75" customHeight="1">
      <c r="C570" s="4" t="n"/>
    </row>
    <row r="571" ht="15.75" customHeight="1">
      <c r="C571" s="4" t="n"/>
    </row>
    <row r="572" ht="15.75" customHeight="1">
      <c r="C572" s="4" t="n"/>
    </row>
    <row r="573" ht="15.75" customHeight="1">
      <c r="C573" s="4" t="n"/>
    </row>
    <row r="574" ht="15.75" customHeight="1">
      <c r="C574" s="4" t="n"/>
    </row>
    <row r="575" ht="15.75" customHeight="1">
      <c r="C575" s="4" t="n"/>
    </row>
    <row r="576" ht="15.75" customHeight="1">
      <c r="C576" s="4" t="n"/>
    </row>
    <row r="577" ht="15.75" customHeight="1">
      <c r="C577" s="4" t="n"/>
    </row>
    <row r="578" ht="15.75" customHeight="1">
      <c r="C578" s="4" t="n"/>
    </row>
    <row r="579" ht="15.75" customHeight="1">
      <c r="C579" s="4" t="n"/>
    </row>
    <row r="580" ht="15.75" customHeight="1">
      <c r="C580" s="4" t="n"/>
    </row>
    <row r="581" ht="15.75" customHeight="1">
      <c r="C581" s="4" t="n"/>
    </row>
    <row r="582" ht="15.75" customHeight="1">
      <c r="C582" s="4" t="n"/>
    </row>
    <row r="583" ht="15.75" customHeight="1">
      <c r="C583" s="4" t="n"/>
    </row>
    <row r="584" ht="15.75" customHeight="1">
      <c r="C584" s="4" t="n"/>
    </row>
    <row r="585" ht="15.75" customHeight="1">
      <c r="C585" s="4" t="n"/>
    </row>
    <row r="586" ht="15.75" customHeight="1">
      <c r="C586" s="4" t="n"/>
    </row>
    <row r="587" ht="15.75" customHeight="1">
      <c r="C587" s="4" t="n"/>
    </row>
    <row r="588" ht="15.75" customHeight="1">
      <c r="C588" s="4" t="n"/>
    </row>
    <row r="589" ht="15.75" customHeight="1">
      <c r="C589" s="4" t="n"/>
    </row>
    <row r="590" ht="15.75" customHeight="1">
      <c r="C590" s="4" t="n"/>
    </row>
    <row r="591" ht="15.75" customHeight="1">
      <c r="C591" s="4" t="n"/>
    </row>
    <row r="592" ht="15.75" customHeight="1">
      <c r="C592" s="4" t="n"/>
    </row>
    <row r="593" ht="15.75" customHeight="1">
      <c r="C593" s="4" t="n"/>
    </row>
    <row r="594" ht="15.75" customHeight="1">
      <c r="C594" s="4" t="n"/>
    </row>
    <row r="595" ht="15.75" customHeight="1">
      <c r="C595" s="4" t="n"/>
    </row>
    <row r="596" ht="15.75" customHeight="1">
      <c r="C596" s="4" t="n"/>
    </row>
    <row r="597" ht="15.75" customHeight="1">
      <c r="C597" s="4" t="n"/>
    </row>
    <row r="598" ht="15.75" customHeight="1">
      <c r="C598" s="4" t="n"/>
    </row>
    <row r="599" ht="15.75" customHeight="1">
      <c r="C599" s="4" t="n"/>
    </row>
    <row r="600" ht="15.75" customHeight="1">
      <c r="C600" s="4" t="n"/>
    </row>
    <row r="601" ht="15.75" customHeight="1">
      <c r="C601" s="4" t="n"/>
    </row>
    <row r="602" ht="15.75" customHeight="1">
      <c r="C602" s="4" t="n"/>
    </row>
    <row r="603" ht="15.75" customHeight="1">
      <c r="C603" s="4" t="n"/>
    </row>
    <row r="604" ht="15.75" customHeight="1">
      <c r="C604" s="4" t="n"/>
    </row>
    <row r="605" ht="15.75" customHeight="1">
      <c r="C605" s="4" t="n"/>
    </row>
    <row r="606" ht="15.75" customHeight="1">
      <c r="C606" s="4" t="n"/>
    </row>
    <row r="607" ht="15.75" customHeight="1">
      <c r="C607" s="4" t="n"/>
    </row>
    <row r="608" ht="15.75" customHeight="1">
      <c r="C608" s="4" t="n"/>
    </row>
    <row r="609" ht="15.75" customHeight="1">
      <c r="C609" s="4" t="n"/>
    </row>
    <row r="610" ht="15.75" customHeight="1">
      <c r="C610" s="4" t="n"/>
    </row>
    <row r="611" ht="15.75" customHeight="1">
      <c r="C611" s="4" t="n"/>
    </row>
    <row r="612" ht="15.75" customHeight="1">
      <c r="C612" s="4" t="n"/>
    </row>
    <row r="613" ht="15.75" customHeight="1">
      <c r="C613" s="4" t="n"/>
    </row>
    <row r="614" ht="15.75" customHeight="1">
      <c r="C614" s="4" t="n"/>
    </row>
    <row r="615" ht="15.75" customHeight="1">
      <c r="C615" s="4" t="n"/>
    </row>
    <row r="616" ht="15.75" customHeight="1">
      <c r="C616" s="4" t="n"/>
    </row>
    <row r="617" ht="15.75" customHeight="1">
      <c r="C617" s="4" t="n"/>
    </row>
    <row r="618" ht="15.75" customHeight="1">
      <c r="C618" s="4" t="n"/>
    </row>
    <row r="619" ht="15.75" customHeight="1">
      <c r="C619" s="4" t="n"/>
    </row>
    <row r="620" ht="15.75" customHeight="1">
      <c r="C620" s="4" t="n"/>
    </row>
    <row r="621" ht="15.75" customHeight="1">
      <c r="C621" s="4" t="n"/>
    </row>
    <row r="622" ht="15.75" customHeight="1">
      <c r="C622" s="4" t="n"/>
    </row>
    <row r="623" ht="15.75" customHeight="1">
      <c r="C623" s="4" t="n"/>
    </row>
    <row r="624" ht="15.75" customHeight="1">
      <c r="C624" s="4" t="n"/>
    </row>
    <row r="625" ht="15.75" customHeight="1">
      <c r="C625" s="4" t="n"/>
    </row>
    <row r="626" ht="15.75" customHeight="1">
      <c r="C626" s="4" t="n"/>
    </row>
    <row r="627" ht="15.75" customHeight="1">
      <c r="C627" s="4" t="n"/>
    </row>
    <row r="628" ht="15.75" customHeight="1">
      <c r="C628" s="4" t="n"/>
    </row>
    <row r="629" ht="15.75" customHeight="1">
      <c r="C629" s="4" t="n"/>
    </row>
    <row r="630" ht="15.75" customHeight="1">
      <c r="C630" s="4" t="n"/>
    </row>
    <row r="631" ht="15.75" customHeight="1">
      <c r="C631" s="4" t="n"/>
    </row>
    <row r="632" ht="15.75" customHeight="1">
      <c r="C632" s="4" t="n"/>
    </row>
    <row r="633" ht="15.75" customHeight="1">
      <c r="C633" s="4" t="n"/>
    </row>
    <row r="634" ht="15.75" customHeight="1">
      <c r="C634" s="4" t="n"/>
    </row>
    <row r="635" ht="15.75" customHeight="1">
      <c r="C635" s="4" t="n"/>
    </row>
    <row r="636" ht="15.75" customHeight="1">
      <c r="C636" s="4" t="n"/>
    </row>
    <row r="637" ht="15.75" customHeight="1">
      <c r="C637" s="4" t="n"/>
    </row>
    <row r="638" ht="15.75" customHeight="1">
      <c r="C638" s="4" t="n"/>
    </row>
    <row r="639" ht="15.75" customHeight="1">
      <c r="C639" s="4" t="n"/>
    </row>
    <row r="640" ht="15.75" customHeight="1">
      <c r="C640" s="4" t="n"/>
    </row>
    <row r="641" ht="15.75" customHeight="1">
      <c r="C641" s="4" t="n"/>
    </row>
    <row r="642" ht="15.75" customHeight="1">
      <c r="C642" s="4" t="n"/>
    </row>
    <row r="643" ht="15.75" customHeight="1">
      <c r="C643" s="4" t="n"/>
    </row>
    <row r="644" ht="15.75" customHeight="1">
      <c r="C644" s="4" t="n"/>
    </row>
    <row r="645" ht="15.75" customHeight="1">
      <c r="C645" s="4" t="n"/>
    </row>
    <row r="646" ht="15.75" customHeight="1">
      <c r="C646" s="4" t="n"/>
    </row>
    <row r="647" ht="15.75" customHeight="1">
      <c r="C647" s="4" t="n"/>
    </row>
    <row r="648" ht="15.75" customHeight="1">
      <c r="C648" s="4" t="n"/>
    </row>
    <row r="649" ht="15.75" customHeight="1">
      <c r="C649" s="4" t="n"/>
    </row>
    <row r="650" ht="15.75" customHeight="1">
      <c r="C650" s="4" t="n"/>
    </row>
    <row r="651" ht="15.75" customHeight="1">
      <c r="C651" s="4" t="n"/>
    </row>
    <row r="652" ht="15.75" customHeight="1">
      <c r="C652" s="4" t="n"/>
    </row>
    <row r="653" ht="15.75" customHeight="1">
      <c r="C653" s="4" t="n"/>
    </row>
    <row r="654" ht="15.75" customHeight="1">
      <c r="C654" s="4" t="n"/>
    </row>
    <row r="655" ht="15.75" customHeight="1">
      <c r="C655" s="4" t="n"/>
    </row>
    <row r="656" ht="15.75" customHeight="1">
      <c r="C656" s="4" t="n"/>
    </row>
    <row r="657" ht="15.75" customHeight="1">
      <c r="C657" s="4" t="n"/>
    </row>
    <row r="658" ht="15.75" customHeight="1">
      <c r="C658" s="4" t="n"/>
    </row>
    <row r="659" ht="15.75" customHeight="1">
      <c r="C659" s="4" t="n"/>
    </row>
    <row r="660" ht="15.75" customHeight="1">
      <c r="C660" s="4" t="n"/>
    </row>
    <row r="661" ht="15.75" customHeight="1">
      <c r="C661" s="4" t="n"/>
    </row>
    <row r="662" ht="15.75" customHeight="1">
      <c r="C662" s="4" t="n"/>
    </row>
    <row r="663" ht="15.75" customHeight="1">
      <c r="C663" s="4" t="n"/>
    </row>
    <row r="664" ht="15.75" customHeight="1">
      <c r="C664" s="4" t="n"/>
    </row>
    <row r="665" ht="15.75" customHeight="1">
      <c r="C665" s="4" t="n"/>
    </row>
    <row r="666" ht="15.75" customHeight="1">
      <c r="C666" s="4" t="n"/>
    </row>
    <row r="667" ht="15.75" customHeight="1">
      <c r="C667" s="4" t="n"/>
    </row>
    <row r="668" ht="15.75" customHeight="1">
      <c r="C668" s="4" t="n"/>
    </row>
    <row r="669" ht="15.75" customHeight="1">
      <c r="C669" s="4" t="n"/>
    </row>
    <row r="670" ht="15.75" customHeight="1">
      <c r="C670" s="4" t="n"/>
    </row>
    <row r="671" ht="15.75" customHeight="1">
      <c r="C671" s="4" t="n"/>
    </row>
    <row r="672" ht="15.75" customHeight="1">
      <c r="C672" s="4" t="n"/>
    </row>
    <row r="673" ht="15.75" customHeight="1">
      <c r="C673" s="4" t="n"/>
    </row>
    <row r="674" ht="15.75" customHeight="1">
      <c r="C674" s="4" t="n"/>
    </row>
    <row r="675" ht="15.75" customHeight="1">
      <c r="C675" s="4" t="n"/>
    </row>
    <row r="676" ht="15.75" customHeight="1">
      <c r="C676" s="4" t="n"/>
    </row>
    <row r="677" ht="15.75" customHeight="1">
      <c r="C677" s="4" t="n"/>
    </row>
    <row r="678" ht="15.75" customHeight="1">
      <c r="C678" s="4" t="n"/>
    </row>
    <row r="679" ht="15.75" customHeight="1">
      <c r="C679" s="4" t="n"/>
    </row>
    <row r="680" ht="15.75" customHeight="1">
      <c r="C680" s="4" t="n"/>
    </row>
    <row r="681" ht="15.75" customHeight="1">
      <c r="C681" s="4" t="n"/>
    </row>
    <row r="682" ht="15.75" customHeight="1">
      <c r="C682" s="4" t="n"/>
    </row>
    <row r="683" ht="15.75" customHeight="1">
      <c r="C683" s="4" t="n"/>
    </row>
    <row r="684" ht="15.75" customHeight="1">
      <c r="C684" s="4" t="n"/>
    </row>
    <row r="685" ht="15.75" customHeight="1">
      <c r="C685" s="4" t="n"/>
    </row>
    <row r="686" ht="15.75" customHeight="1">
      <c r="C686" s="4" t="n"/>
    </row>
    <row r="687" ht="15.75" customHeight="1">
      <c r="C687" s="4" t="n"/>
    </row>
    <row r="688" ht="15.75" customHeight="1">
      <c r="C688" s="4" t="n"/>
    </row>
    <row r="689" ht="15.75" customHeight="1">
      <c r="C689" s="4" t="n"/>
    </row>
    <row r="690" ht="15.75" customHeight="1">
      <c r="C690" s="4" t="n"/>
    </row>
    <row r="691" ht="15.75" customHeight="1">
      <c r="C691" s="4" t="n"/>
    </row>
    <row r="692" ht="15.75" customHeight="1">
      <c r="C692" s="4" t="n"/>
    </row>
    <row r="693" ht="15.75" customHeight="1">
      <c r="C693" s="4" t="n"/>
    </row>
    <row r="694" ht="15.75" customHeight="1">
      <c r="C694" s="4" t="n"/>
    </row>
    <row r="695" ht="15.75" customHeight="1">
      <c r="C695" s="4" t="n"/>
    </row>
    <row r="696" ht="15.75" customHeight="1">
      <c r="C696" s="4" t="n"/>
    </row>
    <row r="697" ht="15.75" customHeight="1">
      <c r="C697" s="4" t="n"/>
    </row>
    <row r="698" ht="15.75" customHeight="1">
      <c r="C698" s="4" t="n"/>
    </row>
    <row r="699" ht="15.75" customHeight="1">
      <c r="C699" s="4" t="n"/>
    </row>
    <row r="700" ht="15.75" customHeight="1">
      <c r="C700" s="4" t="n"/>
    </row>
    <row r="701" ht="15.75" customHeight="1">
      <c r="C701" s="4" t="n"/>
    </row>
    <row r="702" ht="15.75" customHeight="1">
      <c r="C702" s="4" t="n"/>
    </row>
    <row r="703" ht="15.75" customHeight="1">
      <c r="C703" s="4" t="n"/>
    </row>
    <row r="704" ht="15.75" customHeight="1">
      <c r="C704" s="4" t="n"/>
    </row>
    <row r="705" ht="15.75" customHeight="1">
      <c r="C705" s="4" t="n"/>
    </row>
    <row r="706" ht="15.75" customHeight="1">
      <c r="C706" s="4" t="n"/>
    </row>
    <row r="707" ht="15.75" customHeight="1">
      <c r="C707" s="4" t="n"/>
    </row>
    <row r="708" ht="15.75" customHeight="1">
      <c r="C708" s="4" t="n"/>
    </row>
    <row r="709" ht="15.75" customHeight="1">
      <c r="C709" s="4" t="n"/>
    </row>
    <row r="710" ht="15.75" customHeight="1">
      <c r="C710" s="4" t="n"/>
    </row>
    <row r="711" ht="15.75" customHeight="1">
      <c r="C711" s="4" t="n"/>
    </row>
    <row r="712" ht="15.75" customHeight="1">
      <c r="C712" s="4" t="n"/>
    </row>
    <row r="713" ht="15.75" customHeight="1">
      <c r="C713" s="4" t="n"/>
    </row>
    <row r="714" ht="15.75" customHeight="1">
      <c r="C714" s="4" t="n"/>
    </row>
    <row r="715" ht="15.75" customHeight="1">
      <c r="C715" s="4" t="n"/>
    </row>
    <row r="716" ht="15.75" customHeight="1">
      <c r="C716" s="4" t="n"/>
    </row>
    <row r="717" ht="15.75" customHeight="1">
      <c r="C717" s="4" t="n"/>
    </row>
    <row r="718" ht="15.75" customHeight="1">
      <c r="C718" s="4" t="n"/>
    </row>
    <row r="719" ht="15.75" customHeight="1">
      <c r="C719" s="4" t="n"/>
    </row>
    <row r="720" ht="15.75" customHeight="1">
      <c r="C720" s="4" t="n"/>
    </row>
    <row r="721" ht="15.75" customHeight="1">
      <c r="C721" s="4" t="n"/>
    </row>
    <row r="722" ht="15.75" customHeight="1">
      <c r="C722" s="4" t="n"/>
    </row>
    <row r="723" ht="15.75" customHeight="1">
      <c r="C723" s="4" t="n"/>
    </row>
    <row r="724" ht="15.75" customHeight="1">
      <c r="C724" s="4" t="n"/>
    </row>
    <row r="725" ht="15.75" customHeight="1">
      <c r="C725" s="4" t="n"/>
    </row>
    <row r="726" ht="15.75" customHeight="1">
      <c r="C726" s="4" t="n"/>
    </row>
    <row r="727" ht="15.75" customHeight="1">
      <c r="C727" s="4" t="n"/>
    </row>
    <row r="728" ht="15.75" customHeight="1">
      <c r="C728" s="4" t="n"/>
    </row>
    <row r="729" ht="15.75" customHeight="1">
      <c r="C729" s="4" t="n"/>
    </row>
    <row r="730" ht="15.75" customHeight="1">
      <c r="C730" s="4" t="n"/>
    </row>
    <row r="731" ht="15.75" customHeight="1">
      <c r="C731" s="4" t="n"/>
    </row>
    <row r="732" ht="15.75" customHeight="1">
      <c r="C732" s="4" t="n"/>
    </row>
    <row r="733" ht="15.75" customHeight="1">
      <c r="C733" s="4" t="n"/>
    </row>
    <row r="734" ht="15.75" customHeight="1">
      <c r="C734" s="4" t="n"/>
    </row>
    <row r="735" ht="15.75" customHeight="1">
      <c r="C735" s="4" t="n"/>
    </row>
    <row r="736" ht="15.75" customHeight="1">
      <c r="C736" s="4" t="n"/>
    </row>
    <row r="737" ht="15.75" customHeight="1">
      <c r="C737" s="4" t="n"/>
    </row>
    <row r="738" ht="15.75" customHeight="1">
      <c r="C738" s="4" t="n"/>
    </row>
    <row r="739" ht="15.75" customHeight="1">
      <c r="C739" s="4" t="n"/>
    </row>
    <row r="740" ht="15.75" customHeight="1">
      <c r="C740" s="4" t="n"/>
    </row>
    <row r="741" ht="15.75" customHeight="1">
      <c r="C741" s="4" t="n"/>
    </row>
    <row r="742" ht="15.75" customHeight="1">
      <c r="C742" s="4" t="n"/>
    </row>
    <row r="743" ht="15.75" customHeight="1">
      <c r="C743" s="4" t="n"/>
    </row>
    <row r="744" ht="15.75" customHeight="1">
      <c r="C744" s="4" t="n"/>
    </row>
    <row r="745" ht="15.75" customHeight="1">
      <c r="C745" s="4" t="n"/>
    </row>
    <row r="746" ht="15.75" customHeight="1">
      <c r="C746" s="4" t="n"/>
    </row>
    <row r="747" ht="15.75" customHeight="1">
      <c r="C747" s="4" t="n"/>
    </row>
    <row r="748" ht="15.75" customHeight="1">
      <c r="C748" s="4" t="n"/>
    </row>
    <row r="749" ht="15.75" customHeight="1">
      <c r="C749" s="4" t="n"/>
    </row>
    <row r="750" ht="15.75" customHeight="1">
      <c r="C750" s="4" t="n"/>
    </row>
    <row r="751" ht="15.75" customHeight="1">
      <c r="C751" s="4" t="n"/>
    </row>
    <row r="752" ht="15.75" customHeight="1">
      <c r="C752" s="4" t="n"/>
    </row>
    <row r="753" ht="15.75" customHeight="1">
      <c r="C753" s="4" t="n"/>
    </row>
    <row r="754" ht="15.75" customHeight="1">
      <c r="C754" s="4" t="n"/>
    </row>
    <row r="755" ht="15.75" customHeight="1">
      <c r="C755" s="4" t="n"/>
    </row>
    <row r="756" ht="15.75" customHeight="1">
      <c r="C756" s="4" t="n"/>
    </row>
    <row r="757" ht="15.75" customHeight="1">
      <c r="C757" s="4" t="n"/>
    </row>
    <row r="758" ht="15.75" customHeight="1">
      <c r="C758" s="4" t="n"/>
    </row>
    <row r="759" ht="15.75" customHeight="1">
      <c r="C759" s="4" t="n"/>
    </row>
    <row r="760" ht="15.75" customHeight="1">
      <c r="C760" s="4" t="n"/>
    </row>
    <row r="761" ht="15.75" customHeight="1">
      <c r="C761" s="4" t="n"/>
    </row>
    <row r="762" ht="15.75" customHeight="1">
      <c r="C762" s="4" t="n"/>
    </row>
    <row r="763" ht="15.75" customHeight="1">
      <c r="C763" s="4" t="n"/>
    </row>
    <row r="764" ht="15.75" customHeight="1">
      <c r="C764" s="4" t="n"/>
    </row>
    <row r="765" ht="15.75" customHeight="1">
      <c r="C765" s="4" t="n"/>
    </row>
    <row r="766" ht="15.75" customHeight="1">
      <c r="C766" s="4" t="n"/>
    </row>
    <row r="767" ht="15.75" customHeight="1">
      <c r="C767" s="4" t="n"/>
    </row>
    <row r="768" ht="15.75" customHeight="1">
      <c r="C768" s="4" t="n"/>
    </row>
    <row r="769" ht="15.75" customHeight="1">
      <c r="C769" s="4" t="n"/>
    </row>
    <row r="770" ht="15.75" customHeight="1">
      <c r="C770" s="4" t="n"/>
    </row>
    <row r="771" ht="15.75" customHeight="1">
      <c r="C771" s="4" t="n"/>
    </row>
    <row r="772" ht="15.75" customHeight="1">
      <c r="C772" s="4" t="n"/>
    </row>
    <row r="773" ht="15.75" customHeight="1">
      <c r="C773" s="4" t="n"/>
    </row>
    <row r="774" ht="15.75" customHeight="1">
      <c r="C774" s="4" t="n"/>
    </row>
    <row r="775" ht="15.75" customHeight="1">
      <c r="C775" s="4" t="n"/>
    </row>
    <row r="776" ht="15.75" customHeight="1">
      <c r="C776" s="4" t="n"/>
    </row>
    <row r="777" ht="15.75" customHeight="1">
      <c r="C777" s="4" t="n"/>
    </row>
    <row r="778" ht="15.75" customHeight="1">
      <c r="C778" s="4" t="n"/>
    </row>
    <row r="779" ht="15.75" customHeight="1">
      <c r="C779" s="4" t="n"/>
    </row>
    <row r="780" ht="15.75" customHeight="1">
      <c r="C780" s="4" t="n"/>
    </row>
    <row r="781" ht="15.75" customHeight="1">
      <c r="C781" s="4" t="n"/>
    </row>
    <row r="782" ht="15.75" customHeight="1">
      <c r="C782" s="4" t="n"/>
    </row>
    <row r="783" ht="15.75" customHeight="1">
      <c r="C783" s="4" t="n"/>
    </row>
    <row r="784" ht="15.75" customHeight="1">
      <c r="C784" s="4" t="n"/>
    </row>
    <row r="785" ht="15.75" customHeight="1">
      <c r="C785" s="4" t="n"/>
    </row>
    <row r="786" ht="15.75" customHeight="1">
      <c r="C786" s="4" t="n"/>
    </row>
    <row r="787" ht="15.75" customHeight="1">
      <c r="C787" s="4" t="n"/>
    </row>
    <row r="788" ht="15.75" customHeight="1">
      <c r="C788" s="4" t="n"/>
    </row>
    <row r="789" ht="15.75" customHeight="1">
      <c r="C789" s="4" t="n"/>
    </row>
    <row r="790" ht="15.75" customHeight="1">
      <c r="C790" s="4" t="n"/>
    </row>
    <row r="791" ht="15.75" customHeight="1">
      <c r="C791" s="4" t="n"/>
    </row>
    <row r="792" ht="15.75" customHeight="1">
      <c r="C792" s="4" t="n"/>
    </row>
    <row r="793" ht="15.75" customHeight="1">
      <c r="C793" s="4" t="n"/>
    </row>
    <row r="794" ht="15.75" customHeight="1">
      <c r="C794" s="4" t="n"/>
    </row>
    <row r="795" ht="15.75" customHeight="1">
      <c r="C795" s="4" t="n"/>
    </row>
    <row r="796" ht="15.75" customHeight="1">
      <c r="C796" s="4" t="n"/>
    </row>
    <row r="797" ht="15.75" customHeight="1">
      <c r="C797" s="4" t="n"/>
    </row>
    <row r="798" ht="15.75" customHeight="1">
      <c r="C798" s="4" t="n"/>
    </row>
    <row r="799" ht="15.75" customHeight="1">
      <c r="C799" s="4" t="n"/>
    </row>
    <row r="800" ht="15.75" customHeight="1">
      <c r="C800" s="4" t="n"/>
    </row>
    <row r="801" ht="15.75" customHeight="1">
      <c r="C801" s="4" t="n"/>
    </row>
    <row r="802" ht="15.75" customHeight="1">
      <c r="C802" s="4" t="n"/>
    </row>
    <row r="803" ht="15.75" customHeight="1">
      <c r="C803" s="4" t="n"/>
    </row>
    <row r="804" ht="15.75" customHeight="1">
      <c r="C804" s="4" t="n"/>
    </row>
    <row r="805" ht="15.75" customHeight="1">
      <c r="C805" s="4" t="n"/>
    </row>
    <row r="806" ht="15.75" customHeight="1">
      <c r="C806" s="4" t="n"/>
    </row>
    <row r="807" ht="15.75" customHeight="1">
      <c r="C807" s="4" t="n"/>
    </row>
    <row r="808" ht="15.75" customHeight="1">
      <c r="C808" s="4" t="n"/>
    </row>
    <row r="809" ht="15.75" customHeight="1">
      <c r="C809" s="4" t="n"/>
    </row>
    <row r="810" ht="15.75" customHeight="1">
      <c r="C810" s="4" t="n"/>
    </row>
    <row r="811" ht="15.75" customHeight="1">
      <c r="C811" s="4" t="n"/>
    </row>
    <row r="812" ht="15.75" customHeight="1">
      <c r="C812" s="4" t="n"/>
    </row>
    <row r="813" ht="15.75" customHeight="1">
      <c r="C813" s="4" t="n"/>
    </row>
    <row r="814" ht="15.75" customHeight="1">
      <c r="C814" s="4" t="n"/>
    </row>
    <row r="815" ht="15.75" customHeight="1">
      <c r="C815" s="4" t="n"/>
    </row>
    <row r="816" ht="15.75" customHeight="1">
      <c r="C816" s="4" t="n"/>
    </row>
    <row r="817" ht="15.75" customHeight="1">
      <c r="C817" s="4" t="n"/>
    </row>
    <row r="818" ht="15.75" customHeight="1">
      <c r="C818" s="4" t="n"/>
    </row>
    <row r="819" ht="15.75" customHeight="1">
      <c r="C819" s="4" t="n"/>
    </row>
    <row r="820" ht="15.75" customHeight="1">
      <c r="C820" s="4" t="n"/>
    </row>
    <row r="821" ht="15.75" customHeight="1">
      <c r="C821" s="4" t="n"/>
    </row>
    <row r="822" ht="15.75" customHeight="1">
      <c r="C822" s="4" t="n"/>
    </row>
    <row r="823" ht="15.75" customHeight="1">
      <c r="C823" s="4" t="n"/>
    </row>
    <row r="824" ht="15.75" customHeight="1">
      <c r="C824" s="4" t="n"/>
    </row>
    <row r="825" ht="15.75" customHeight="1">
      <c r="C825" s="4" t="n"/>
    </row>
    <row r="826" ht="15.75" customHeight="1">
      <c r="C826" s="4" t="n"/>
    </row>
    <row r="827" ht="15.75" customHeight="1">
      <c r="C827" s="4" t="n"/>
    </row>
    <row r="828" ht="15.75" customHeight="1">
      <c r="C828" s="4" t="n"/>
    </row>
    <row r="829" ht="15.75" customHeight="1">
      <c r="C829" s="4" t="n"/>
    </row>
    <row r="830" ht="15.75" customHeight="1">
      <c r="C830" s="4" t="n"/>
    </row>
    <row r="831" ht="15.75" customHeight="1">
      <c r="C831" s="4" t="n"/>
    </row>
    <row r="832" ht="15.75" customHeight="1">
      <c r="C832" s="4" t="n"/>
    </row>
    <row r="833" ht="15.75" customHeight="1">
      <c r="C833" s="4" t="n"/>
    </row>
    <row r="834" ht="15.75" customHeight="1">
      <c r="C834" s="4" t="n"/>
    </row>
    <row r="835" ht="15.75" customHeight="1">
      <c r="C835" s="4" t="n"/>
    </row>
    <row r="836" ht="15.75" customHeight="1">
      <c r="C836" s="4" t="n"/>
    </row>
    <row r="837" ht="15.75" customHeight="1">
      <c r="C837" s="4" t="n"/>
    </row>
    <row r="838" ht="15.75" customHeight="1">
      <c r="C838" s="4" t="n"/>
    </row>
    <row r="839" ht="15.75" customHeight="1">
      <c r="C839" s="4" t="n"/>
    </row>
    <row r="840" ht="15.75" customHeight="1">
      <c r="C840" s="4" t="n"/>
    </row>
    <row r="841" ht="15.75" customHeight="1">
      <c r="C841" s="4" t="n"/>
    </row>
    <row r="842" ht="15.75" customHeight="1">
      <c r="C842" s="4" t="n"/>
    </row>
    <row r="843" ht="15.75" customHeight="1">
      <c r="C843" s="4" t="n"/>
    </row>
    <row r="844" ht="15.75" customHeight="1">
      <c r="C844" s="4" t="n"/>
    </row>
    <row r="845" ht="15.75" customHeight="1">
      <c r="C845" s="4" t="n"/>
    </row>
    <row r="846" ht="15.75" customHeight="1">
      <c r="C846" s="4" t="n"/>
    </row>
    <row r="847" ht="15.75" customHeight="1">
      <c r="C847" s="4" t="n"/>
    </row>
    <row r="848" ht="15.75" customHeight="1">
      <c r="C848" s="4" t="n"/>
    </row>
    <row r="849" ht="15.75" customHeight="1">
      <c r="C849" s="4" t="n"/>
    </row>
    <row r="850" ht="15.75" customHeight="1">
      <c r="C850" s="4" t="n"/>
    </row>
    <row r="851" ht="15.75" customHeight="1">
      <c r="C851" s="4" t="n"/>
    </row>
    <row r="852" ht="15.75" customHeight="1">
      <c r="C852" s="4" t="n"/>
    </row>
    <row r="853" ht="15.75" customHeight="1">
      <c r="C853" s="4" t="n"/>
    </row>
    <row r="854" ht="15.75" customHeight="1">
      <c r="C854" s="4" t="n"/>
    </row>
    <row r="855" ht="15.75" customHeight="1">
      <c r="C855" s="4" t="n"/>
    </row>
    <row r="856" ht="15.75" customHeight="1">
      <c r="C856" s="4" t="n"/>
    </row>
    <row r="857" ht="15.75" customHeight="1">
      <c r="C857" s="4" t="n"/>
    </row>
    <row r="858" ht="15.75" customHeight="1">
      <c r="C858" s="4" t="n"/>
    </row>
    <row r="859" ht="15.75" customHeight="1">
      <c r="C859" s="4" t="n"/>
    </row>
    <row r="860" ht="15.75" customHeight="1">
      <c r="C860" s="4" t="n"/>
    </row>
    <row r="861" ht="15.75" customHeight="1">
      <c r="C861" s="4" t="n"/>
    </row>
    <row r="862" ht="15.75" customHeight="1">
      <c r="C862" s="4" t="n"/>
    </row>
    <row r="863" ht="15.75" customHeight="1">
      <c r="C863" s="4" t="n"/>
    </row>
    <row r="864" ht="15.75" customHeight="1">
      <c r="C864" s="4" t="n"/>
    </row>
    <row r="865" ht="15.75" customHeight="1">
      <c r="C865" s="4" t="n"/>
    </row>
    <row r="866" ht="15.75" customHeight="1">
      <c r="C866" s="4" t="n"/>
    </row>
    <row r="867" ht="15.75" customHeight="1">
      <c r="C867" s="4" t="n"/>
    </row>
    <row r="868" ht="15.75" customHeight="1">
      <c r="C868" s="4" t="n"/>
    </row>
    <row r="869" ht="15.75" customHeight="1">
      <c r="C869" s="4" t="n"/>
    </row>
    <row r="870" ht="15.75" customHeight="1">
      <c r="C870" s="4" t="n"/>
    </row>
    <row r="871" ht="15.75" customHeight="1">
      <c r="C871" s="4" t="n"/>
    </row>
    <row r="872" ht="15.75" customHeight="1">
      <c r="C872" s="4" t="n"/>
    </row>
    <row r="873" ht="15.75" customHeight="1">
      <c r="C873" s="4" t="n"/>
    </row>
    <row r="874" ht="15.75" customHeight="1">
      <c r="C874" s="4" t="n"/>
    </row>
    <row r="875" ht="15.75" customHeight="1">
      <c r="C875" s="4" t="n"/>
    </row>
    <row r="876" ht="15.75" customHeight="1">
      <c r="C876" s="4" t="n"/>
    </row>
    <row r="877" ht="15.75" customHeight="1">
      <c r="C877" s="4" t="n"/>
    </row>
    <row r="878" ht="15.75" customHeight="1">
      <c r="C878" s="4" t="n"/>
    </row>
    <row r="879" ht="15.75" customHeight="1">
      <c r="C879" s="4" t="n"/>
    </row>
    <row r="880" ht="15.75" customHeight="1">
      <c r="C880" s="4" t="n"/>
    </row>
    <row r="881" ht="15.75" customHeight="1">
      <c r="C881" s="4" t="n"/>
    </row>
    <row r="882" ht="15.75" customHeight="1">
      <c r="C882" s="4" t="n"/>
    </row>
    <row r="883" ht="15.75" customHeight="1">
      <c r="C883" s="4" t="n"/>
    </row>
    <row r="884" ht="15.75" customHeight="1">
      <c r="C884" s="4" t="n"/>
    </row>
    <row r="885" ht="15.75" customHeight="1">
      <c r="C885" s="4" t="n"/>
    </row>
    <row r="886" ht="15.75" customHeight="1">
      <c r="C886" s="4" t="n"/>
    </row>
    <row r="887" ht="15.75" customHeight="1">
      <c r="C887" s="4" t="n"/>
    </row>
    <row r="888" ht="15.75" customHeight="1">
      <c r="C888" s="4" t="n"/>
    </row>
    <row r="889" ht="15.75" customHeight="1">
      <c r="C889" s="4" t="n"/>
    </row>
    <row r="890" ht="15.75" customHeight="1">
      <c r="C890" s="4" t="n"/>
    </row>
    <row r="891" ht="15.75" customHeight="1">
      <c r="C891" s="4" t="n"/>
    </row>
    <row r="892" ht="15.75" customHeight="1">
      <c r="C892" s="4" t="n"/>
    </row>
    <row r="893" ht="15.75" customHeight="1">
      <c r="C893" s="4" t="n"/>
    </row>
    <row r="894" ht="15.75" customHeight="1">
      <c r="C894" s="4" t="n"/>
    </row>
    <row r="895" ht="15.75" customHeight="1">
      <c r="C895" s="4" t="n"/>
    </row>
    <row r="896" ht="15.75" customHeight="1">
      <c r="C896" s="4" t="n"/>
    </row>
    <row r="897" ht="15.75" customHeight="1">
      <c r="C897" s="4" t="n"/>
    </row>
    <row r="898" ht="15.75" customHeight="1">
      <c r="C898" s="4" t="n"/>
    </row>
    <row r="899" ht="15.75" customHeight="1">
      <c r="C899" s="4" t="n"/>
    </row>
    <row r="900" ht="15.75" customHeight="1">
      <c r="C900" s="4" t="n"/>
    </row>
    <row r="901" ht="15.75" customHeight="1">
      <c r="C901" s="4" t="n"/>
    </row>
    <row r="902" ht="15.75" customHeight="1">
      <c r="C902" s="4" t="n"/>
    </row>
    <row r="903" ht="15.75" customHeight="1">
      <c r="C903" s="4" t="n"/>
    </row>
    <row r="904" ht="15.75" customHeight="1">
      <c r="C904" s="4" t="n"/>
    </row>
    <row r="905" ht="15.75" customHeight="1">
      <c r="C905" s="4" t="n"/>
    </row>
    <row r="906" ht="15.75" customHeight="1">
      <c r="C906" s="4" t="n"/>
    </row>
    <row r="907" ht="15.75" customHeight="1">
      <c r="C907" s="4" t="n"/>
    </row>
    <row r="908" ht="15.75" customHeight="1">
      <c r="C908" s="4" t="n"/>
    </row>
    <row r="909" ht="15.75" customHeight="1">
      <c r="C909" s="4" t="n"/>
    </row>
    <row r="910" ht="15.75" customHeight="1">
      <c r="C910" s="4" t="n"/>
    </row>
    <row r="911" ht="15.75" customHeight="1">
      <c r="C911" s="4" t="n"/>
    </row>
    <row r="912" ht="15.75" customHeight="1">
      <c r="C912" s="4" t="n"/>
    </row>
    <row r="913" ht="15.75" customHeight="1">
      <c r="C913" s="4" t="n"/>
    </row>
    <row r="914" ht="15.75" customHeight="1">
      <c r="C914" s="4" t="n"/>
    </row>
    <row r="915" ht="15.75" customHeight="1">
      <c r="C915" s="4" t="n"/>
    </row>
    <row r="916" ht="15.75" customHeight="1">
      <c r="C916" s="4" t="n"/>
    </row>
    <row r="917" ht="15.75" customHeight="1">
      <c r="C917" s="4" t="n"/>
    </row>
    <row r="918" ht="15.75" customHeight="1">
      <c r="C918" s="4" t="n"/>
    </row>
    <row r="919" ht="15.75" customHeight="1">
      <c r="C919" s="4" t="n"/>
    </row>
    <row r="920" ht="15.75" customHeight="1">
      <c r="C920" s="4" t="n"/>
    </row>
    <row r="921" ht="15.75" customHeight="1">
      <c r="C921" s="4" t="n"/>
    </row>
    <row r="922" ht="15.75" customHeight="1">
      <c r="C922" s="4" t="n"/>
    </row>
    <row r="923" ht="15.75" customHeight="1">
      <c r="C923" s="4" t="n"/>
    </row>
    <row r="924" ht="15.75" customHeight="1">
      <c r="C924" s="4" t="n"/>
    </row>
    <row r="925" ht="15.75" customHeight="1">
      <c r="C925" s="4" t="n"/>
    </row>
    <row r="926" ht="15.75" customHeight="1">
      <c r="C926" s="4" t="n"/>
    </row>
    <row r="927" ht="15.75" customHeight="1">
      <c r="C927" s="4" t="n"/>
    </row>
    <row r="928" ht="15.75" customHeight="1">
      <c r="C928" s="4" t="n"/>
    </row>
    <row r="929" ht="15.75" customHeight="1">
      <c r="C929" s="4" t="n"/>
    </row>
    <row r="930" ht="15.75" customHeight="1">
      <c r="C930" s="4" t="n"/>
    </row>
    <row r="931" ht="15.75" customHeight="1">
      <c r="C931" s="4" t="n"/>
    </row>
    <row r="932" ht="15.75" customHeight="1">
      <c r="C932" s="4" t="n"/>
    </row>
    <row r="933" ht="15.75" customHeight="1">
      <c r="C933" s="4" t="n"/>
    </row>
    <row r="934" ht="15.75" customHeight="1">
      <c r="C934" s="4" t="n"/>
    </row>
    <row r="935" ht="15.75" customHeight="1">
      <c r="C935" s="4" t="n"/>
    </row>
    <row r="936" ht="15.75" customHeight="1">
      <c r="C936" s="4" t="n"/>
    </row>
    <row r="937" ht="15.75" customHeight="1">
      <c r="C937" s="4" t="n"/>
    </row>
    <row r="938" ht="15.75" customHeight="1">
      <c r="C938" s="4" t="n"/>
    </row>
    <row r="939" ht="15.75" customHeight="1">
      <c r="C939" s="4" t="n"/>
    </row>
    <row r="940" ht="15.75" customHeight="1">
      <c r="C940" s="4" t="n"/>
    </row>
    <row r="941" ht="15.75" customHeight="1">
      <c r="C941" s="4" t="n"/>
    </row>
    <row r="942" ht="15.75" customHeight="1">
      <c r="C942" s="4" t="n"/>
    </row>
    <row r="943" ht="15.75" customHeight="1">
      <c r="C943" s="4" t="n"/>
    </row>
    <row r="944" ht="15.75" customHeight="1">
      <c r="C944" s="4" t="n"/>
    </row>
    <row r="945" ht="15.75" customHeight="1">
      <c r="C945" s="4" t="n"/>
    </row>
    <row r="946" ht="15.75" customHeight="1">
      <c r="C946" s="4" t="n"/>
    </row>
    <row r="947" ht="15.75" customHeight="1">
      <c r="C947" s="4" t="n"/>
    </row>
    <row r="948" ht="15.75" customHeight="1">
      <c r="C948" s="4" t="n"/>
    </row>
    <row r="949" ht="15.75" customHeight="1">
      <c r="C949" s="4" t="n"/>
    </row>
    <row r="950" ht="15.75" customHeight="1">
      <c r="C950" s="4" t="n"/>
    </row>
    <row r="951" ht="15.75" customHeight="1">
      <c r="C951" s="4" t="n"/>
    </row>
    <row r="952" ht="15.75" customHeight="1">
      <c r="C952" s="4" t="n"/>
    </row>
    <row r="953" ht="15.75" customHeight="1">
      <c r="C953" s="4" t="n"/>
    </row>
    <row r="954" ht="15.75" customHeight="1">
      <c r="C954" s="4" t="n"/>
    </row>
    <row r="955" ht="15.75" customHeight="1">
      <c r="C955" s="4" t="n"/>
    </row>
    <row r="956" ht="15.75" customHeight="1">
      <c r="C956" s="4" t="n"/>
    </row>
    <row r="957" ht="15.75" customHeight="1">
      <c r="C957" s="4" t="n"/>
    </row>
    <row r="958" ht="15.75" customHeight="1">
      <c r="C958" s="4" t="n"/>
    </row>
    <row r="959" ht="15.75" customHeight="1">
      <c r="C959" s="4" t="n"/>
    </row>
    <row r="960" ht="15.75" customHeight="1">
      <c r="C960" s="4" t="n"/>
    </row>
    <row r="961" ht="15.75" customHeight="1">
      <c r="C961" s="4" t="n"/>
    </row>
    <row r="962" ht="15.75" customHeight="1">
      <c r="C962" s="4" t="n"/>
    </row>
    <row r="963" ht="15.75" customHeight="1">
      <c r="C963" s="4" t="n"/>
    </row>
    <row r="964" ht="15.75" customHeight="1">
      <c r="C964" s="4" t="n"/>
    </row>
    <row r="965" ht="15.75" customHeight="1">
      <c r="C965" s="4" t="n"/>
    </row>
    <row r="966" ht="15.75" customHeight="1">
      <c r="C966" s="4" t="n"/>
    </row>
    <row r="967" ht="15.75" customHeight="1">
      <c r="C967" s="4" t="n"/>
    </row>
    <row r="968" ht="15.75" customHeight="1">
      <c r="C968" s="4" t="n"/>
    </row>
    <row r="969" ht="15.75" customHeight="1">
      <c r="C969" s="4" t="n"/>
    </row>
    <row r="970" ht="15.75" customHeight="1">
      <c r="C970" s="4" t="n"/>
    </row>
    <row r="971" ht="15.75" customHeight="1">
      <c r="C971" s="4" t="n"/>
    </row>
    <row r="972" ht="15.75" customHeight="1">
      <c r="C972" s="4" t="n"/>
    </row>
    <row r="973" ht="15.75" customHeight="1">
      <c r="C973" s="4" t="n"/>
    </row>
    <row r="974" ht="15.75" customHeight="1">
      <c r="C974" s="4" t="n"/>
    </row>
    <row r="975" ht="15.75" customHeight="1">
      <c r="C975" s="4" t="n"/>
    </row>
    <row r="976" ht="15.75" customHeight="1">
      <c r="C976" s="4" t="n"/>
    </row>
    <row r="977" ht="15.75" customHeight="1">
      <c r="C977" s="4" t="n"/>
    </row>
    <row r="978" ht="15.75" customHeight="1">
      <c r="C978" s="4" t="n"/>
    </row>
    <row r="979" ht="15.75" customHeight="1">
      <c r="C979" s="4" t="n"/>
    </row>
    <row r="980" ht="15.75" customHeight="1">
      <c r="C980" s="4" t="n"/>
    </row>
    <row r="981" ht="15.75" customHeight="1">
      <c r="C981" s="4" t="n"/>
    </row>
    <row r="982" ht="15.75" customHeight="1">
      <c r="C982" s="4" t="n"/>
    </row>
    <row r="983" ht="15.75" customHeight="1">
      <c r="C983" s="4" t="n"/>
    </row>
    <row r="984" ht="15.75" customHeight="1">
      <c r="C984" s="4" t="n"/>
    </row>
    <row r="985" ht="15.75" customHeight="1">
      <c r="C985" s="4" t="n"/>
    </row>
    <row r="986" ht="15.75" customHeight="1">
      <c r="C986" s="4" t="n"/>
    </row>
    <row r="987" ht="15.75" customHeight="1">
      <c r="C987" s="4" t="n"/>
    </row>
    <row r="988" ht="15.75" customHeight="1">
      <c r="C988" s="4" t="n"/>
    </row>
    <row r="989" ht="15.75" customHeight="1">
      <c r="C989" s="4" t="n"/>
    </row>
    <row r="990" ht="15.75" customHeight="1">
      <c r="C990" s="4" t="n"/>
    </row>
    <row r="991" ht="15.75" customHeight="1">
      <c r="C991" s="4" t="n"/>
    </row>
    <row r="992" ht="15.75" customHeight="1">
      <c r="C992" s="4" t="n"/>
    </row>
    <row r="993" ht="15.75" customHeight="1">
      <c r="C993" s="4" t="n"/>
    </row>
    <row r="994" ht="15.75" customHeight="1">
      <c r="C994" s="4" t="n"/>
    </row>
    <row r="995" ht="15.75" customHeight="1">
      <c r="C995" s="4" t="n"/>
    </row>
    <row r="996" ht="15.75" customHeight="1">
      <c r="C996" s="4" t="n"/>
    </row>
    <row r="997" ht="15.75" customHeight="1">
      <c r="C997" s="4" t="n"/>
    </row>
    <row r="998" ht="15.75" customHeight="1">
      <c r="C998" s="4" t="n"/>
    </row>
    <row r="999" ht="15.75" customHeight="1">
      <c r="C999" s="4" t="n"/>
    </row>
    <row r="1000" ht="15.75" customHeight="1">
      <c r="C1000" s="4" t="n"/>
    </row>
    <row r="1001" ht="15.75" customHeight="1">
      <c r="C1001" s="4" t="n"/>
    </row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97"/>
  <sheetViews>
    <sheetView showGridLines="0" workbookViewId="0">
      <selection activeCell="B7" sqref="B7"/>
    </sheetView>
  </sheetViews>
  <sheetFormatPr baseColWidth="8" defaultColWidth="12.6640625" defaultRowHeight="15" customHeight="1"/>
  <cols>
    <col width="3.25" customWidth="1" min="1" max="1"/>
    <col width="23.4140625" customWidth="1" min="2" max="2"/>
    <col width="23.25" customWidth="1" min="3" max="3"/>
    <col width="12.75" customWidth="1" min="4" max="4"/>
    <col width="17.1640625" customWidth="1" min="5" max="6"/>
    <col width="24.4140625" customWidth="1" min="7" max="7"/>
    <col width="14.4140625" customWidth="1" min="8" max="27"/>
  </cols>
  <sheetData>
    <row r="1" ht="26" customHeight="1">
      <c r="B1" s="27" t="inlineStr">
        <is>
          <t>Loan Type</t>
        </is>
      </c>
      <c r="C1" s="27" t="inlineStr">
        <is>
          <t>Outstanding Amount</t>
        </is>
      </c>
      <c r="D1" s="27" t="inlineStr">
        <is>
          <t>EMI</t>
        </is>
      </c>
      <c r="E1" s="27" t="inlineStr">
        <is>
          <t>Interest Rate</t>
        </is>
      </c>
      <c r="F1" s="27" t="inlineStr">
        <is>
          <t>Tenure Left</t>
        </is>
      </c>
      <c r="G1" s="27" t="inlineStr">
        <is>
          <t>Optional Remarks /Comments</t>
        </is>
      </c>
    </row>
    <row r="2" ht="14.5" customHeight="1">
      <c r="B2" s="66" t="inlineStr">
        <is>
          <t>Home Loan</t>
        </is>
      </c>
      <c r="C2" s="186">
        <f>'4D_Real_Estate'!D3</f>
        <v/>
      </c>
      <c r="D2" s="51" t="n"/>
      <c r="E2" s="52" t="n"/>
      <c r="F2" s="122" t="inlineStr">
        <is>
          <t xml:space="preserve">5 years left </t>
        </is>
      </c>
      <c r="G2" s="32" t="inlineStr">
        <is>
          <t>EMI due until Mar 2031</t>
        </is>
      </c>
    </row>
    <row r="3" ht="14.5" customHeight="1">
      <c r="B3" s="66" t="n"/>
      <c r="C3" s="49" t="n"/>
      <c r="D3" s="51" t="n"/>
      <c r="E3" s="52" t="n"/>
      <c r="F3" s="51" t="n"/>
      <c r="G3" s="51" t="n"/>
    </row>
    <row r="4" ht="14.5" customHeight="1">
      <c r="B4" s="66" t="n"/>
      <c r="C4" s="49" t="n"/>
      <c r="D4" s="51" t="n"/>
      <c r="E4" s="52" t="n"/>
      <c r="F4" s="51" t="n"/>
      <c r="G4" s="51" t="n"/>
    </row>
    <row r="5" ht="14.5" customHeight="1">
      <c r="B5" s="66" t="n"/>
      <c r="C5" s="49" t="n"/>
      <c r="D5" s="51" t="n"/>
      <c r="E5" s="52" t="n"/>
      <c r="F5" s="51" t="n"/>
      <c r="G5" s="51" t="n"/>
    </row>
    <row r="6" ht="14.5" customHeight="1">
      <c r="B6" s="66" t="n"/>
      <c r="C6" s="51" t="n"/>
      <c r="D6" s="51" t="n"/>
      <c r="E6" s="51" t="n"/>
      <c r="F6" s="51" t="n"/>
      <c r="G6" s="51" t="n"/>
    </row>
    <row r="7" ht="14" customHeight="1">
      <c r="B7" s="51" t="n"/>
      <c r="C7" s="51" t="n"/>
      <c r="D7" s="51" t="n"/>
      <c r="E7" s="52" t="n"/>
      <c r="F7" s="51" t="n"/>
      <c r="G7" s="51" t="n"/>
    </row>
    <row r="8" ht="14" customHeight="1">
      <c r="B8" s="51" t="n"/>
      <c r="C8" s="51" t="n"/>
      <c r="D8" s="51" t="n"/>
      <c r="E8" s="52" t="n"/>
      <c r="F8" s="51" t="n"/>
      <c r="G8" s="51" t="n"/>
    </row>
    <row r="9" ht="14" customHeight="1">
      <c r="B9" s="51" t="n"/>
      <c r="C9" s="51" t="n"/>
      <c r="D9" s="51" t="n"/>
      <c r="E9" s="52" t="n"/>
      <c r="F9" s="51" t="n"/>
      <c r="G9" s="51" t="n"/>
    </row>
    <row r="10" ht="14" customHeight="1">
      <c r="B10" s="67" t="n"/>
      <c r="C10" s="67">
        <f>SUM(C2:C9)</f>
        <v/>
      </c>
      <c r="D10" s="67" t="n"/>
      <c r="E10" s="68" t="n"/>
      <c r="F10" s="67" t="n"/>
      <c r="G10" s="67" t="n"/>
    </row>
    <row r="11" ht="14" customHeight="1">
      <c r="E11" s="4" t="n"/>
    </row>
    <row r="12" ht="14" customHeight="1">
      <c r="E12" s="4" t="n"/>
    </row>
    <row r="13" ht="14" customHeight="1">
      <c r="E13" s="4" t="n"/>
    </row>
    <row r="14" ht="14" customHeight="1">
      <c r="E14" s="4" t="n"/>
    </row>
    <row r="15" ht="14" customHeight="1">
      <c r="E15" s="4" t="n"/>
    </row>
    <row r="16" ht="14" customHeight="1">
      <c r="E16" s="4" t="n"/>
    </row>
    <row r="17" ht="14" customHeight="1">
      <c r="E17" s="4" t="n"/>
    </row>
    <row r="18" ht="15.75" customHeight="1">
      <c r="E18" s="4" t="n"/>
    </row>
    <row r="19" ht="15.75" customHeight="1">
      <c r="E19" s="4" t="n"/>
    </row>
    <row r="20" ht="15.75" customHeight="1">
      <c r="E20" s="4" t="n"/>
    </row>
    <row r="21" ht="15.75" customHeight="1">
      <c r="E21" s="4" t="n"/>
    </row>
    <row r="22" ht="15.75" customHeight="1">
      <c r="E22" s="4" t="n"/>
    </row>
    <row r="23" ht="15.75" customHeight="1">
      <c r="E23" s="4" t="n"/>
    </row>
    <row r="24" ht="15.75" customHeight="1">
      <c r="E24" s="4" t="n"/>
    </row>
    <row r="25" ht="15.75" customHeight="1">
      <c r="E25" s="4" t="n"/>
    </row>
    <row r="26" ht="15.75" customHeight="1">
      <c r="E26" s="4" t="n"/>
    </row>
    <row r="27" ht="15.75" customHeight="1">
      <c r="E27" s="4" t="n"/>
    </row>
    <row r="28" ht="15.75" customHeight="1">
      <c r="E28" s="4" t="n"/>
    </row>
    <row r="29" ht="15.75" customHeight="1">
      <c r="E29" s="4" t="n"/>
    </row>
    <row r="30" ht="15.75" customHeight="1">
      <c r="E30" s="4" t="n"/>
    </row>
    <row r="31" ht="15.75" customHeight="1">
      <c r="E31" s="4" t="n"/>
    </row>
    <row r="32" ht="15.75" customHeight="1">
      <c r="E32" s="4" t="n"/>
    </row>
    <row r="33" ht="15.75" customHeight="1">
      <c r="E33" s="4" t="n"/>
    </row>
    <row r="34" ht="15.75" customHeight="1">
      <c r="E34" s="4" t="n"/>
    </row>
    <row r="35" ht="15.75" customHeight="1">
      <c r="E35" s="4" t="n"/>
    </row>
    <row r="36" ht="15.75" customHeight="1">
      <c r="E36" s="4" t="n"/>
    </row>
    <row r="37" ht="15.75" customHeight="1">
      <c r="E37" s="4" t="n"/>
    </row>
    <row r="38" ht="15.75" customHeight="1">
      <c r="E38" s="4" t="n"/>
    </row>
    <row r="39" ht="15.75" customHeight="1">
      <c r="E39" s="4" t="n"/>
    </row>
    <row r="40" ht="15.75" customHeight="1">
      <c r="E40" s="4" t="n"/>
    </row>
    <row r="41" ht="15.75" customHeight="1">
      <c r="E41" s="4" t="n"/>
    </row>
    <row r="42" ht="15.75" customHeight="1">
      <c r="E42" s="4" t="n"/>
    </row>
    <row r="43" ht="15.75" customHeight="1">
      <c r="E43" s="4" t="n"/>
    </row>
    <row r="44" ht="15.75" customHeight="1">
      <c r="E44" s="4" t="n"/>
    </row>
    <row r="45" ht="15.75" customHeight="1">
      <c r="E45" s="4" t="n"/>
    </row>
    <row r="46" ht="15.75" customHeight="1">
      <c r="E46" s="4" t="n"/>
    </row>
    <row r="47" ht="15.75" customHeight="1">
      <c r="E47" s="4" t="n"/>
    </row>
    <row r="48" ht="15.75" customHeight="1">
      <c r="E48" s="4" t="n"/>
    </row>
    <row r="49" ht="15.75" customHeight="1">
      <c r="E49" s="4" t="n"/>
    </row>
    <row r="50" ht="15.75" customHeight="1">
      <c r="E50" s="4" t="n"/>
    </row>
    <row r="51" ht="15.75" customHeight="1">
      <c r="E51" s="4" t="n"/>
    </row>
    <row r="52" ht="15.75" customHeight="1">
      <c r="E52" s="4" t="n"/>
    </row>
    <row r="53" ht="15.75" customHeight="1">
      <c r="E53" s="4" t="n"/>
    </row>
    <row r="54" ht="15.75" customHeight="1">
      <c r="E54" s="4" t="n"/>
    </row>
    <row r="55" ht="15.75" customHeight="1">
      <c r="E55" s="4" t="n"/>
    </row>
    <row r="56" ht="15.75" customHeight="1">
      <c r="E56" s="4" t="n"/>
    </row>
    <row r="57" ht="15.75" customHeight="1">
      <c r="E57" s="4" t="n"/>
    </row>
    <row r="58" ht="15.75" customHeight="1">
      <c r="E58" s="4" t="n"/>
    </row>
    <row r="59" ht="15.75" customHeight="1">
      <c r="E59" s="4" t="n"/>
    </row>
    <row r="60" ht="15.75" customHeight="1">
      <c r="E60" s="4" t="n"/>
    </row>
    <row r="61" ht="15.75" customHeight="1">
      <c r="E61" s="4" t="n"/>
    </row>
    <row r="62" ht="15.75" customHeight="1">
      <c r="E62" s="4" t="n"/>
    </row>
    <row r="63" ht="15.75" customHeight="1">
      <c r="E63" s="4" t="n"/>
    </row>
    <row r="64" ht="15.75" customHeight="1">
      <c r="E64" s="4" t="n"/>
    </row>
    <row r="65" ht="15.75" customHeight="1">
      <c r="E65" s="4" t="n"/>
    </row>
    <row r="66" ht="15.75" customHeight="1">
      <c r="E66" s="4" t="n"/>
    </row>
    <row r="67" ht="15.75" customHeight="1">
      <c r="E67" s="4" t="n"/>
    </row>
    <row r="68" ht="15.75" customHeight="1">
      <c r="E68" s="4" t="n"/>
    </row>
    <row r="69" ht="15.75" customHeight="1">
      <c r="E69" s="4" t="n"/>
    </row>
    <row r="70" ht="15.75" customHeight="1">
      <c r="E70" s="4" t="n"/>
    </row>
    <row r="71" ht="15.75" customHeight="1">
      <c r="E71" s="4" t="n"/>
    </row>
    <row r="72" ht="15.75" customHeight="1">
      <c r="E72" s="4" t="n"/>
    </row>
    <row r="73" ht="15.75" customHeight="1">
      <c r="E73" s="4" t="n"/>
    </row>
    <row r="74" ht="15.75" customHeight="1">
      <c r="E74" s="4" t="n"/>
    </row>
    <row r="75" ht="15.75" customHeight="1">
      <c r="E75" s="4" t="n"/>
    </row>
    <row r="76" ht="15.75" customHeight="1">
      <c r="E76" s="4" t="n"/>
    </row>
    <row r="77" ht="15.75" customHeight="1">
      <c r="E77" s="4" t="n"/>
    </row>
    <row r="78" ht="15.75" customHeight="1">
      <c r="E78" s="4" t="n"/>
    </row>
    <row r="79" ht="15.75" customHeight="1">
      <c r="E79" s="4" t="n"/>
    </row>
    <row r="80" ht="15.75" customHeight="1">
      <c r="E80" s="4" t="n"/>
    </row>
    <row r="81" ht="15.75" customHeight="1">
      <c r="E81" s="4" t="n"/>
    </row>
    <row r="82" ht="15.75" customHeight="1">
      <c r="E82" s="4" t="n"/>
    </row>
    <row r="83" ht="15.75" customHeight="1">
      <c r="E83" s="4" t="n"/>
    </row>
    <row r="84" ht="15.75" customHeight="1">
      <c r="E84" s="4" t="n"/>
    </row>
    <row r="85" ht="15.75" customHeight="1">
      <c r="E85" s="4" t="n"/>
    </row>
    <row r="86" ht="15.75" customHeight="1">
      <c r="E86" s="4" t="n"/>
    </row>
    <row r="87" ht="15.75" customHeight="1">
      <c r="E87" s="4" t="n"/>
    </row>
    <row r="88" ht="15.75" customHeight="1">
      <c r="E88" s="4" t="n"/>
    </row>
    <row r="89" ht="15.75" customHeight="1">
      <c r="E89" s="4" t="n"/>
    </row>
    <row r="90" ht="15.75" customHeight="1">
      <c r="E90" s="4" t="n"/>
    </row>
    <row r="91" ht="15.75" customHeight="1">
      <c r="E91" s="4" t="n"/>
    </row>
    <row r="92" ht="15.75" customHeight="1">
      <c r="E92" s="4" t="n"/>
    </row>
    <row r="93" ht="15.75" customHeight="1">
      <c r="E93" s="4" t="n"/>
    </row>
    <row r="94" ht="15.75" customHeight="1">
      <c r="E94" s="4" t="n"/>
    </row>
    <row r="95" ht="15.75" customHeight="1">
      <c r="E95" s="4" t="n"/>
    </row>
    <row r="96" ht="15.75" customHeight="1">
      <c r="E96" s="4" t="n"/>
    </row>
    <row r="97" ht="15.75" customHeight="1">
      <c r="E97" s="4" t="n"/>
    </row>
    <row r="98" ht="15.75" customHeight="1">
      <c r="E98" s="4" t="n"/>
    </row>
    <row r="99" ht="15.75" customHeight="1">
      <c r="E99" s="4" t="n"/>
    </row>
    <row r="100" ht="15.75" customHeight="1">
      <c r="E100" s="4" t="n"/>
    </row>
    <row r="101" ht="15.75" customHeight="1">
      <c r="E101" s="4" t="n"/>
    </row>
    <row r="102" ht="15.75" customHeight="1">
      <c r="E102" s="4" t="n"/>
    </row>
    <row r="103" ht="15.75" customHeight="1">
      <c r="E103" s="4" t="n"/>
    </row>
    <row r="104" ht="15.75" customHeight="1">
      <c r="E104" s="4" t="n"/>
    </row>
    <row r="105" ht="15.75" customHeight="1">
      <c r="E105" s="4" t="n"/>
    </row>
    <row r="106" ht="15.75" customHeight="1">
      <c r="E106" s="4" t="n"/>
    </row>
    <row r="107" ht="15.75" customHeight="1">
      <c r="E107" s="4" t="n"/>
    </row>
    <row r="108" ht="15.75" customHeight="1">
      <c r="E108" s="4" t="n"/>
    </row>
    <row r="109" ht="15.75" customHeight="1">
      <c r="E109" s="4" t="n"/>
    </row>
    <row r="110" ht="15.75" customHeight="1">
      <c r="E110" s="4" t="n"/>
    </row>
    <row r="111" ht="15.75" customHeight="1">
      <c r="E111" s="4" t="n"/>
    </row>
    <row r="112" ht="15.75" customHeight="1">
      <c r="E112" s="4" t="n"/>
    </row>
    <row r="113" ht="15.75" customHeight="1">
      <c r="E113" s="4" t="n"/>
    </row>
    <row r="114" ht="15.75" customHeight="1">
      <c r="E114" s="4" t="n"/>
    </row>
    <row r="115" ht="15.75" customHeight="1">
      <c r="E115" s="4" t="n"/>
    </row>
    <row r="116" ht="15.75" customHeight="1">
      <c r="E116" s="4" t="n"/>
    </row>
    <row r="117" ht="15.75" customHeight="1">
      <c r="E117" s="4" t="n"/>
    </row>
    <row r="118" ht="15.75" customHeight="1">
      <c r="E118" s="4" t="n"/>
    </row>
    <row r="119" ht="15.75" customHeight="1">
      <c r="E119" s="4" t="n"/>
    </row>
    <row r="120" ht="15.75" customHeight="1">
      <c r="E120" s="4" t="n"/>
    </row>
    <row r="121" ht="15.75" customHeight="1">
      <c r="E121" s="4" t="n"/>
    </row>
    <row r="122" ht="15.75" customHeight="1">
      <c r="E122" s="4" t="n"/>
    </row>
    <row r="123" ht="15.75" customHeight="1">
      <c r="E123" s="4" t="n"/>
    </row>
    <row r="124" ht="15.75" customHeight="1">
      <c r="E124" s="4" t="n"/>
    </row>
    <row r="125" ht="15.75" customHeight="1">
      <c r="E125" s="4" t="n"/>
    </row>
    <row r="126" ht="15.75" customHeight="1">
      <c r="E126" s="4" t="n"/>
    </row>
    <row r="127" ht="15.75" customHeight="1">
      <c r="E127" s="4" t="n"/>
    </row>
    <row r="128" ht="15.75" customHeight="1">
      <c r="E128" s="4" t="n"/>
    </row>
    <row r="129" ht="15.75" customHeight="1">
      <c r="E129" s="4" t="n"/>
    </row>
    <row r="130" ht="15.75" customHeight="1">
      <c r="E130" s="4" t="n"/>
    </row>
    <row r="131" ht="15.75" customHeight="1">
      <c r="E131" s="4" t="n"/>
    </row>
    <row r="132" ht="15.75" customHeight="1">
      <c r="E132" s="4" t="n"/>
    </row>
    <row r="133" ht="15.75" customHeight="1">
      <c r="E133" s="4" t="n"/>
    </row>
    <row r="134" ht="15.75" customHeight="1">
      <c r="E134" s="4" t="n"/>
    </row>
    <row r="135" ht="15.75" customHeight="1">
      <c r="E135" s="4" t="n"/>
    </row>
    <row r="136" ht="15.75" customHeight="1">
      <c r="E136" s="4" t="n"/>
    </row>
    <row r="137" ht="15.75" customHeight="1">
      <c r="E137" s="4" t="n"/>
    </row>
    <row r="138" ht="15.75" customHeight="1">
      <c r="E138" s="4" t="n"/>
    </row>
    <row r="139" ht="15.75" customHeight="1">
      <c r="E139" s="4" t="n"/>
    </row>
    <row r="140" ht="15.75" customHeight="1">
      <c r="E140" s="4" t="n"/>
    </row>
    <row r="141" ht="15.75" customHeight="1">
      <c r="E141" s="4" t="n"/>
    </row>
    <row r="142" ht="15.75" customHeight="1">
      <c r="E142" s="4" t="n"/>
    </row>
    <row r="143" ht="15.75" customHeight="1">
      <c r="E143" s="4" t="n"/>
    </row>
    <row r="144" ht="15.75" customHeight="1">
      <c r="E144" s="4" t="n"/>
    </row>
    <row r="145" ht="15.75" customHeight="1">
      <c r="E145" s="4" t="n"/>
    </row>
    <row r="146" ht="15.75" customHeight="1">
      <c r="E146" s="4" t="n"/>
    </row>
    <row r="147" ht="15.75" customHeight="1">
      <c r="E147" s="4" t="n"/>
    </row>
    <row r="148" ht="15.75" customHeight="1">
      <c r="E148" s="4" t="n"/>
    </row>
    <row r="149" ht="15.75" customHeight="1">
      <c r="E149" s="4" t="n"/>
    </row>
    <row r="150" ht="15.75" customHeight="1">
      <c r="E150" s="4" t="n"/>
    </row>
    <row r="151" ht="15.75" customHeight="1">
      <c r="E151" s="4" t="n"/>
    </row>
    <row r="152" ht="15.75" customHeight="1">
      <c r="E152" s="4" t="n"/>
    </row>
    <row r="153" ht="15.75" customHeight="1">
      <c r="E153" s="4" t="n"/>
    </row>
    <row r="154" ht="15.75" customHeight="1">
      <c r="E154" s="4" t="n"/>
    </row>
    <row r="155" ht="15.75" customHeight="1">
      <c r="E155" s="4" t="n"/>
    </row>
    <row r="156" ht="15.75" customHeight="1">
      <c r="E156" s="4" t="n"/>
    </row>
    <row r="157" ht="15.75" customHeight="1">
      <c r="E157" s="4" t="n"/>
    </row>
    <row r="158" ht="15.75" customHeight="1">
      <c r="E158" s="4" t="n"/>
    </row>
    <row r="159" ht="15.75" customHeight="1">
      <c r="E159" s="4" t="n"/>
    </row>
    <row r="160" ht="15.75" customHeight="1">
      <c r="E160" s="4" t="n"/>
    </row>
    <row r="161" ht="15.75" customHeight="1">
      <c r="E161" s="4" t="n"/>
    </row>
    <row r="162" ht="15.75" customHeight="1">
      <c r="E162" s="4" t="n"/>
    </row>
    <row r="163" ht="15.75" customHeight="1">
      <c r="E163" s="4" t="n"/>
    </row>
    <row r="164" ht="15.75" customHeight="1">
      <c r="E164" s="4" t="n"/>
    </row>
    <row r="165" ht="15.75" customHeight="1">
      <c r="E165" s="4" t="n"/>
    </row>
    <row r="166" ht="15.75" customHeight="1">
      <c r="E166" s="4" t="n"/>
    </row>
    <row r="167" ht="15.75" customHeight="1">
      <c r="E167" s="4" t="n"/>
    </row>
    <row r="168" ht="15.75" customHeight="1">
      <c r="E168" s="4" t="n"/>
    </row>
    <row r="169" ht="15.75" customHeight="1">
      <c r="E169" s="4" t="n"/>
    </row>
    <row r="170" ht="15.75" customHeight="1">
      <c r="E170" s="4" t="n"/>
    </row>
    <row r="171" ht="15.75" customHeight="1">
      <c r="E171" s="4" t="n"/>
    </row>
    <row r="172" ht="15.75" customHeight="1">
      <c r="E172" s="4" t="n"/>
    </row>
    <row r="173" ht="15.75" customHeight="1">
      <c r="E173" s="4" t="n"/>
    </row>
    <row r="174" ht="15.75" customHeight="1">
      <c r="E174" s="4" t="n"/>
    </row>
    <row r="175" ht="15.75" customHeight="1">
      <c r="E175" s="4" t="n"/>
    </row>
    <row r="176" ht="15.75" customHeight="1">
      <c r="E176" s="4" t="n"/>
    </row>
    <row r="177" ht="15.75" customHeight="1">
      <c r="E177" s="4" t="n"/>
    </row>
    <row r="178" ht="15.75" customHeight="1">
      <c r="E178" s="4" t="n"/>
    </row>
    <row r="179" ht="15.75" customHeight="1">
      <c r="E179" s="4" t="n"/>
    </row>
    <row r="180" ht="15.75" customHeight="1">
      <c r="E180" s="4" t="n"/>
    </row>
    <row r="181" ht="15.75" customHeight="1">
      <c r="E181" s="4" t="n"/>
    </row>
    <row r="182" ht="15.75" customHeight="1">
      <c r="E182" s="4" t="n"/>
    </row>
    <row r="183" ht="15.75" customHeight="1">
      <c r="E183" s="4" t="n"/>
    </row>
    <row r="184" ht="15.75" customHeight="1">
      <c r="E184" s="4" t="n"/>
    </row>
    <row r="185" ht="15.75" customHeight="1">
      <c r="E185" s="4" t="n"/>
    </row>
    <row r="186" ht="15.75" customHeight="1">
      <c r="E186" s="4" t="n"/>
    </row>
    <row r="187" ht="15.75" customHeight="1">
      <c r="E187" s="4" t="n"/>
    </row>
    <row r="188" ht="15.75" customHeight="1">
      <c r="E188" s="4" t="n"/>
    </row>
    <row r="189" ht="15.75" customHeight="1">
      <c r="E189" s="4" t="n"/>
    </row>
    <row r="190" ht="15.75" customHeight="1">
      <c r="E190" s="4" t="n"/>
    </row>
    <row r="191" ht="15.75" customHeight="1">
      <c r="E191" s="4" t="n"/>
    </row>
    <row r="192" ht="15.75" customHeight="1">
      <c r="E192" s="4" t="n"/>
    </row>
    <row r="193" ht="15.75" customHeight="1">
      <c r="E193" s="4" t="n"/>
    </row>
    <row r="194" ht="15.75" customHeight="1">
      <c r="E194" s="4" t="n"/>
    </row>
    <row r="195" ht="15.75" customHeight="1">
      <c r="E195" s="4" t="n"/>
    </row>
    <row r="196" ht="15.75" customHeight="1">
      <c r="E196" s="4" t="n"/>
    </row>
    <row r="197" ht="15.75" customHeight="1">
      <c r="E197" s="4" t="n"/>
    </row>
    <row r="198" ht="15.75" customHeight="1">
      <c r="E198" s="4" t="n"/>
    </row>
    <row r="199" ht="15.75" customHeight="1">
      <c r="E199" s="4" t="n"/>
    </row>
    <row r="200" ht="15.75" customHeight="1">
      <c r="E200" s="4" t="n"/>
    </row>
    <row r="201" ht="15.75" customHeight="1">
      <c r="E201" s="4" t="n"/>
    </row>
    <row r="202" ht="15.75" customHeight="1">
      <c r="E202" s="4" t="n"/>
    </row>
    <row r="203" ht="15.75" customHeight="1">
      <c r="E203" s="4" t="n"/>
    </row>
    <row r="204" ht="15.75" customHeight="1">
      <c r="E204" s="4" t="n"/>
    </row>
    <row r="205" ht="15.75" customHeight="1">
      <c r="E205" s="4" t="n"/>
    </row>
    <row r="206" ht="15.75" customHeight="1">
      <c r="E206" s="4" t="n"/>
    </row>
    <row r="207" ht="15.75" customHeight="1">
      <c r="E207" s="4" t="n"/>
    </row>
    <row r="208" ht="15.75" customHeight="1">
      <c r="E208" s="4" t="n"/>
    </row>
    <row r="209" ht="15.75" customHeight="1">
      <c r="E209" s="4" t="n"/>
    </row>
    <row r="210" ht="15.75" customHeight="1">
      <c r="E210" s="4" t="n"/>
    </row>
    <row r="211" ht="15.75" customHeight="1">
      <c r="E211" s="4" t="n"/>
    </row>
    <row r="212" ht="15.75" customHeight="1">
      <c r="E212" s="4" t="n"/>
    </row>
    <row r="213" ht="15.75" customHeight="1">
      <c r="E213" s="4" t="n"/>
    </row>
    <row r="214" ht="15.75" customHeight="1">
      <c r="E214" s="4" t="n"/>
    </row>
    <row r="215" ht="15.75" customHeight="1">
      <c r="E215" s="4" t="n"/>
    </row>
    <row r="216" ht="15.75" customHeight="1">
      <c r="E216" s="4" t="n"/>
    </row>
    <row r="217" ht="15.75" customHeight="1">
      <c r="E217" s="4" t="n"/>
    </row>
    <row r="218" ht="15.75" customHeight="1">
      <c r="E218" s="4" t="n"/>
    </row>
    <row r="219" ht="15.75" customHeight="1">
      <c r="E219" s="4" t="n"/>
    </row>
    <row r="220" ht="15.75" customHeight="1">
      <c r="E220" s="4" t="n"/>
    </row>
    <row r="221" ht="15.75" customHeight="1">
      <c r="E221" s="4" t="n"/>
    </row>
    <row r="222" ht="15.75" customHeight="1">
      <c r="E222" s="4" t="n"/>
    </row>
    <row r="223" ht="15.75" customHeight="1">
      <c r="E223" s="4" t="n"/>
    </row>
    <row r="224" ht="15.75" customHeight="1">
      <c r="E224" s="4" t="n"/>
    </row>
    <row r="225" ht="15.75" customHeight="1">
      <c r="E225" s="4" t="n"/>
    </row>
    <row r="226" ht="15.75" customHeight="1">
      <c r="E226" s="4" t="n"/>
    </row>
    <row r="227" ht="15.75" customHeight="1">
      <c r="E227" s="4" t="n"/>
    </row>
    <row r="228" ht="15.75" customHeight="1">
      <c r="E228" s="4" t="n"/>
    </row>
    <row r="229" ht="15.75" customHeight="1">
      <c r="E229" s="4" t="n"/>
    </row>
    <row r="230" ht="15.75" customHeight="1">
      <c r="E230" s="4" t="n"/>
    </row>
    <row r="231" ht="15.75" customHeight="1">
      <c r="E231" s="4" t="n"/>
    </row>
    <row r="232" ht="15.75" customHeight="1">
      <c r="E232" s="4" t="n"/>
    </row>
    <row r="233" ht="15.75" customHeight="1">
      <c r="E233" s="4" t="n"/>
    </row>
    <row r="234" ht="15.75" customHeight="1">
      <c r="E234" s="4" t="n"/>
    </row>
    <row r="235" ht="15.75" customHeight="1">
      <c r="E235" s="4" t="n"/>
    </row>
    <row r="236" ht="15.75" customHeight="1">
      <c r="E236" s="4" t="n"/>
    </row>
    <row r="237" ht="15.75" customHeight="1">
      <c r="E237" s="4" t="n"/>
    </row>
    <row r="238" ht="15.75" customHeight="1">
      <c r="E238" s="4" t="n"/>
    </row>
    <row r="239" ht="15.75" customHeight="1">
      <c r="E239" s="4" t="n"/>
    </row>
    <row r="240" ht="15.75" customHeight="1">
      <c r="E240" s="4" t="n"/>
    </row>
    <row r="241" ht="15.75" customHeight="1">
      <c r="E241" s="4" t="n"/>
    </row>
    <row r="242" ht="15.75" customHeight="1">
      <c r="E242" s="4" t="n"/>
    </row>
    <row r="243" ht="15.75" customHeight="1">
      <c r="E243" s="4" t="n"/>
    </row>
    <row r="244" ht="15.75" customHeight="1">
      <c r="E244" s="4" t="n"/>
    </row>
    <row r="245" ht="15.75" customHeight="1">
      <c r="E245" s="4" t="n"/>
    </row>
    <row r="246" ht="15.75" customHeight="1">
      <c r="E246" s="4" t="n"/>
    </row>
    <row r="247" ht="15.75" customHeight="1">
      <c r="E247" s="4" t="n"/>
    </row>
    <row r="248" ht="15.75" customHeight="1">
      <c r="E248" s="4" t="n"/>
    </row>
    <row r="249" ht="15.75" customHeight="1">
      <c r="E249" s="4" t="n"/>
    </row>
    <row r="250" ht="15.75" customHeight="1">
      <c r="E250" s="4" t="n"/>
    </row>
    <row r="251" ht="15.75" customHeight="1">
      <c r="E251" s="4" t="n"/>
    </row>
    <row r="252" ht="15.75" customHeight="1">
      <c r="E252" s="4" t="n"/>
    </row>
    <row r="253" ht="15.75" customHeight="1">
      <c r="E253" s="4" t="n"/>
    </row>
    <row r="254" ht="15.75" customHeight="1">
      <c r="E254" s="4" t="n"/>
    </row>
    <row r="255" ht="15.75" customHeight="1">
      <c r="E255" s="4" t="n"/>
    </row>
    <row r="256" ht="15.75" customHeight="1">
      <c r="E256" s="4" t="n"/>
    </row>
    <row r="257" ht="15.75" customHeight="1">
      <c r="E257" s="4" t="n"/>
    </row>
    <row r="258" ht="15.75" customHeight="1">
      <c r="E258" s="4" t="n"/>
    </row>
    <row r="259" ht="15.75" customHeight="1">
      <c r="E259" s="4" t="n"/>
    </row>
    <row r="260" ht="15.75" customHeight="1">
      <c r="E260" s="4" t="n"/>
    </row>
    <row r="261" ht="15.75" customHeight="1">
      <c r="E261" s="4" t="n"/>
    </row>
    <row r="262" ht="15.75" customHeight="1">
      <c r="E262" s="4" t="n"/>
    </row>
    <row r="263" ht="15.75" customHeight="1">
      <c r="E263" s="4" t="n"/>
    </row>
    <row r="264" ht="15.75" customHeight="1">
      <c r="E264" s="4" t="n"/>
    </row>
    <row r="265" ht="15.75" customHeight="1">
      <c r="E265" s="4" t="n"/>
    </row>
    <row r="266" ht="15.75" customHeight="1">
      <c r="E266" s="4" t="n"/>
    </row>
    <row r="267" ht="15.75" customHeight="1">
      <c r="E267" s="4" t="n"/>
    </row>
    <row r="268" ht="15.75" customHeight="1">
      <c r="E268" s="4" t="n"/>
    </row>
    <row r="269" ht="15.75" customHeight="1">
      <c r="E269" s="4" t="n"/>
    </row>
    <row r="270" ht="15.75" customHeight="1">
      <c r="E270" s="4" t="n"/>
    </row>
    <row r="271" ht="15.75" customHeight="1">
      <c r="E271" s="4" t="n"/>
    </row>
    <row r="272" ht="15.75" customHeight="1">
      <c r="E272" s="4" t="n"/>
    </row>
    <row r="273" ht="15.75" customHeight="1">
      <c r="E273" s="4" t="n"/>
    </row>
    <row r="274" ht="15.75" customHeight="1">
      <c r="E274" s="4" t="n"/>
    </row>
    <row r="275" ht="15.75" customHeight="1">
      <c r="E275" s="4" t="n"/>
    </row>
    <row r="276" ht="15.75" customHeight="1">
      <c r="E276" s="4" t="n"/>
    </row>
    <row r="277" ht="15.75" customHeight="1">
      <c r="E277" s="4" t="n"/>
    </row>
    <row r="278" ht="15.75" customHeight="1">
      <c r="E278" s="4" t="n"/>
    </row>
    <row r="279" ht="15.75" customHeight="1">
      <c r="E279" s="4" t="n"/>
    </row>
    <row r="280" ht="15.75" customHeight="1">
      <c r="E280" s="4" t="n"/>
    </row>
    <row r="281" ht="15.75" customHeight="1">
      <c r="E281" s="4" t="n"/>
    </row>
    <row r="282" ht="15.75" customHeight="1">
      <c r="E282" s="4" t="n"/>
    </row>
    <row r="283" ht="15.75" customHeight="1">
      <c r="E283" s="4" t="n"/>
    </row>
    <row r="284" ht="15.75" customHeight="1">
      <c r="E284" s="4" t="n"/>
    </row>
    <row r="285" ht="15.75" customHeight="1">
      <c r="E285" s="4" t="n"/>
    </row>
    <row r="286" ht="15.75" customHeight="1">
      <c r="E286" s="4" t="n"/>
    </row>
    <row r="287" ht="15.75" customHeight="1">
      <c r="E287" s="4" t="n"/>
    </row>
    <row r="288" ht="15.75" customHeight="1">
      <c r="E288" s="4" t="n"/>
    </row>
    <row r="289" ht="15.75" customHeight="1">
      <c r="E289" s="4" t="n"/>
    </row>
    <row r="290" ht="15.75" customHeight="1">
      <c r="E290" s="4" t="n"/>
    </row>
    <row r="291" ht="15.75" customHeight="1">
      <c r="E291" s="4" t="n"/>
    </row>
    <row r="292" ht="15.75" customHeight="1">
      <c r="E292" s="4" t="n"/>
    </row>
    <row r="293" ht="15.75" customHeight="1">
      <c r="E293" s="4" t="n"/>
    </row>
    <row r="294" ht="15.75" customHeight="1">
      <c r="E294" s="4" t="n"/>
    </row>
    <row r="295" ht="15.75" customHeight="1">
      <c r="E295" s="4" t="n"/>
    </row>
    <row r="296" ht="15.75" customHeight="1">
      <c r="E296" s="4" t="n"/>
    </row>
    <row r="297" ht="15.75" customHeight="1">
      <c r="E297" s="4" t="n"/>
    </row>
    <row r="298" ht="15.75" customHeight="1">
      <c r="E298" s="4" t="n"/>
    </row>
    <row r="299" ht="15.75" customHeight="1">
      <c r="E299" s="4" t="n"/>
    </row>
    <row r="300" ht="15.75" customHeight="1">
      <c r="E300" s="4" t="n"/>
    </row>
    <row r="301" ht="15.75" customHeight="1">
      <c r="E301" s="4" t="n"/>
    </row>
    <row r="302" ht="15.75" customHeight="1">
      <c r="E302" s="4" t="n"/>
    </row>
    <row r="303" ht="15.75" customHeight="1">
      <c r="E303" s="4" t="n"/>
    </row>
    <row r="304" ht="15.75" customHeight="1">
      <c r="E304" s="4" t="n"/>
    </row>
    <row r="305" ht="15.75" customHeight="1">
      <c r="E305" s="4" t="n"/>
    </row>
    <row r="306" ht="15.75" customHeight="1">
      <c r="E306" s="4" t="n"/>
    </row>
    <row r="307" ht="15.75" customHeight="1">
      <c r="E307" s="4" t="n"/>
    </row>
    <row r="308" ht="15.75" customHeight="1">
      <c r="E308" s="4" t="n"/>
    </row>
    <row r="309" ht="15.75" customHeight="1">
      <c r="E309" s="4" t="n"/>
    </row>
    <row r="310" ht="15.75" customHeight="1">
      <c r="E310" s="4" t="n"/>
    </row>
    <row r="311" ht="15.75" customHeight="1">
      <c r="E311" s="4" t="n"/>
    </row>
    <row r="312" ht="15.75" customHeight="1">
      <c r="E312" s="4" t="n"/>
    </row>
    <row r="313" ht="15.75" customHeight="1">
      <c r="E313" s="4" t="n"/>
    </row>
    <row r="314" ht="15.75" customHeight="1">
      <c r="E314" s="4" t="n"/>
    </row>
    <row r="315" ht="15.75" customHeight="1">
      <c r="E315" s="4" t="n"/>
    </row>
    <row r="316" ht="15.75" customHeight="1">
      <c r="E316" s="4" t="n"/>
    </row>
    <row r="317" ht="15.75" customHeight="1">
      <c r="E317" s="4" t="n"/>
    </row>
    <row r="318" ht="15.75" customHeight="1">
      <c r="E318" s="4" t="n"/>
    </row>
    <row r="319" ht="15.75" customHeight="1">
      <c r="E319" s="4" t="n"/>
    </row>
    <row r="320" ht="15.75" customHeight="1">
      <c r="E320" s="4" t="n"/>
    </row>
    <row r="321" ht="15.75" customHeight="1">
      <c r="E321" s="4" t="n"/>
    </row>
    <row r="322" ht="15.75" customHeight="1">
      <c r="E322" s="4" t="n"/>
    </row>
    <row r="323" ht="15.75" customHeight="1">
      <c r="E323" s="4" t="n"/>
    </row>
    <row r="324" ht="15.75" customHeight="1">
      <c r="E324" s="4" t="n"/>
    </row>
    <row r="325" ht="15.75" customHeight="1">
      <c r="E325" s="4" t="n"/>
    </row>
    <row r="326" ht="15.75" customHeight="1">
      <c r="E326" s="4" t="n"/>
    </row>
    <row r="327" ht="15.75" customHeight="1">
      <c r="E327" s="4" t="n"/>
    </row>
    <row r="328" ht="15.75" customHeight="1">
      <c r="E328" s="4" t="n"/>
    </row>
    <row r="329" ht="15.75" customHeight="1">
      <c r="E329" s="4" t="n"/>
    </row>
    <row r="330" ht="15.75" customHeight="1">
      <c r="E330" s="4" t="n"/>
    </row>
    <row r="331" ht="15.75" customHeight="1">
      <c r="E331" s="4" t="n"/>
    </row>
    <row r="332" ht="15.75" customHeight="1">
      <c r="E332" s="4" t="n"/>
    </row>
    <row r="333" ht="15.75" customHeight="1">
      <c r="E333" s="4" t="n"/>
    </row>
    <row r="334" ht="15.75" customHeight="1">
      <c r="E334" s="4" t="n"/>
    </row>
    <row r="335" ht="15.75" customHeight="1">
      <c r="E335" s="4" t="n"/>
    </row>
    <row r="336" ht="15.75" customHeight="1">
      <c r="E336" s="4" t="n"/>
    </row>
    <row r="337" ht="15.75" customHeight="1">
      <c r="E337" s="4" t="n"/>
    </row>
    <row r="338" ht="15.75" customHeight="1">
      <c r="E338" s="4" t="n"/>
    </row>
    <row r="339" ht="15.75" customHeight="1">
      <c r="E339" s="4" t="n"/>
    </row>
    <row r="340" ht="15.75" customHeight="1">
      <c r="E340" s="4" t="n"/>
    </row>
    <row r="341" ht="15.75" customHeight="1">
      <c r="E341" s="4" t="n"/>
    </row>
    <row r="342" ht="15.75" customHeight="1">
      <c r="E342" s="4" t="n"/>
    </row>
    <row r="343" ht="15.75" customHeight="1">
      <c r="E343" s="4" t="n"/>
    </row>
    <row r="344" ht="15.75" customHeight="1">
      <c r="E344" s="4" t="n"/>
    </row>
    <row r="345" ht="15.75" customHeight="1">
      <c r="E345" s="4" t="n"/>
    </row>
    <row r="346" ht="15.75" customHeight="1">
      <c r="E346" s="4" t="n"/>
    </row>
    <row r="347" ht="15.75" customHeight="1">
      <c r="E347" s="4" t="n"/>
    </row>
    <row r="348" ht="15.75" customHeight="1">
      <c r="E348" s="4" t="n"/>
    </row>
    <row r="349" ht="15.75" customHeight="1">
      <c r="E349" s="4" t="n"/>
    </row>
    <row r="350" ht="15.75" customHeight="1">
      <c r="E350" s="4" t="n"/>
    </row>
    <row r="351" ht="15.75" customHeight="1">
      <c r="E351" s="4" t="n"/>
    </row>
    <row r="352" ht="15.75" customHeight="1">
      <c r="E352" s="4" t="n"/>
    </row>
    <row r="353" ht="15.75" customHeight="1">
      <c r="E353" s="4" t="n"/>
    </row>
    <row r="354" ht="15.75" customHeight="1">
      <c r="E354" s="4" t="n"/>
    </row>
    <row r="355" ht="15.75" customHeight="1">
      <c r="E355" s="4" t="n"/>
    </row>
    <row r="356" ht="15.75" customHeight="1">
      <c r="E356" s="4" t="n"/>
    </row>
    <row r="357" ht="15.75" customHeight="1">
      <c r="E357" s="4" t="n"/>
    </row>
    <row r="358" ht="15.75" customHeight="1">
      <c r="E358" s="4" t="n"/>
    </row>
    <row r="359" ht="15.75" customHeight="1">
      <c r="E359" s="4" t="n"/>
    </row>
    <row r="360" ht="15.75" customHeight="1">
      <c r="E360" s="4" t="n"/>
    </row>
    <row r="361" ht="15.75" customHeight="1">
      <c r="E361" s="4" t="n"/>
    </row>
    <row r="362" ht="15.75" customHeight="1">
      <c r="E362" s="4" t="n"/>
    </row>
    <row r="363" ht="15.75" customHeight="1">
      <c r="E363" s="4" t="n"/>
    </row>
    <row r="364" ht="15.75" customHeight="1">
      <c r="E364" s="4" t="n"/>
    </row>
    <row r="365" ht="15.75" customHeight="1">
      <c r="E365" s="4" t="n"/>
    </row>
    <row r="366" ht="15.75" customHeight="1">
      <c r="E366" s="4" t="n"/>
    </row>
    <row r="367" ht="15.75" customHeight="1">
      <c r="E367" s="4" t="n"/>
    </row>
    <row r="368" ht="15.75" customHeight="1">
      <c r="E368" s="4" t="n"/>
    </row>
    <row r="369" ht="15.75" customHeight="1">
      <c r="E369" s="4" t="n"/>
    </row>
    <row r="370" ht="15.75" customHeight="1">
      <c r="E370" s="4" t="n"/>
    </row>
    <row r="371" ht="15.75" customHeight="1">
      <c r="E371" s="4" t="n"/>
    </row>
    <row r="372" ht="15.75" customHeight="1">
      <c r="E372" s="4" t="n"/>
    </row>
    <row r="373" ht="15.75" customHeight="1">
      <c r="E373" s="4" t="n"/>
    </row>
    <row r="374" ht="15.75" customHeight="1">
      <c r="E374" s="4" t="n"/>
    </row>
    <row r="375" ht="15.75" customHeight="1">
      <c r="E375" s="4" t="n"/>
    </row>
    <row r="376" ht="15.75" customHeight="1">
      <c r="E376" s="4" t="n"/>
    </row>
    <row r="377" ht="15.75" customHeight="1">
      <c r="E377" s="4" t="n"/>
    </row>
    <row r="378" ht="15.75" customHeight="1">
      <c r="E378" s="4" t="n"/>
    </row>
    <row r="379" ht="15.75" customHeight="1">
      <c r="E379" s="4" t="n"/>
    </row>
    <row r="380" ht="15.75" customHeight="1">
      <c r="E380" s="4" t="n"/>
    </row>
    <row r="381" ht="15.75" customHeight="1">
      <c r="E381" s="4" t="n"/>
    </row>
    <row r="382" ht="15.75" customHeight="1">
      <c r="E382" s="4" t="n"/>
    </row>
    <row r="383" ht="15.75" customHeight="1">
      <c r="E383" s="4" t="n"/>
    </row>
    <row r="384" ht="15.75" customHeight="1">
      <c r="E384" s="4" t="n"/>
    </row>
    <row r="385" ht="15.75" customHeight="1">
      <c r="E385" s="4" t="n"/>
    </row>
    <row r="386" ht="15.75" customHeight="1">
      <c r="E386" s="4" t="n"/>
    </row>
    <row r="387" ht="15.75" customHeight="1">
      <c r="E387" s="4" t="n"/>
    </row>
    <row r="388" ht="15.75" customHeight="1">
      <c r="E388" s="4" t="n"/>
    </row>
    <row r="389" ht="15.75" customHeight="1">
      <c r="E389" s="4" t="n"/>
    </row>
    <row r="390" ht="15.75" customHeight="1">
      <c r="E390" s="4" t="n"/>
    </row>
    <row r="391" ht="15.75" customHeight="1">
      <c r="E391" s="4" t="n"/>
    </row>
    <row r="392" ht="15.75" customHeight="1">
      <c r="E392" s="4" t="n"/>
    </row>
    <row r="393" ht="15.75" customHeight="1">
      <c r="E393" s="4" t="n"/>
    </row>
    <row r="394" ht="15.75" customHeight="1">
      <c r="E394" s="4" t="n"/>
    </row>
    <row r="395" ht="15.75" customHeight="1">
      <c r="E395" s="4" t="n"/>
    </row>
    <row r="396" ht="15.75" customHeight="1">
      <c r="E396" s="4" t="n"/>
    </row>
    <row r="397" ht="15.75" customHeight="1">
      <c r="E397" s="4" t="n"/>
    </row>
    <row r="398" ht="15.75" customHeight="1">
      <c r="E398" s="4" t="n"/>
    </row>
    <row r="399" ht="15.75" customHeight="1">
      <c r="E399" s="4" t="n"/>
    </row>
    <row r="400" ht="15.75" customHeight="1">
      <c r="E400" s="4" t="n"/>
    </row>
    <row r="401" ht="15.75" customHeight="1">
      <c r="E401" s="4" t="n"/>
    </row>
    <row r="402" ht="15.75" customHeight="1">
      <c r="E402" s="4" t="n"/>
    </row>
    <row r="403" ht="15.75" customHeight="1">
      <c r="E403" s="4" t="n"/>
    </row>
    <row r="404" ht="15.75" customHeight="1">
      <c r="E404" s="4" t="n"/>
    </row>
    <row r="405" ht="15.75" customHeight="1">
      <c r="E405" s="4" t="n"/>
    </row>
    <row r="406" ht="15.75" customHeight="1">
      <c r="E406" s="4" t="n"/>
    </row>
    <row r="407" ht="15.75" customHeight="1">
      <c r="E407" s="4" t="n"/>
    </row>
    <row r="408" ht="15.75" customHeight="1">
      <c r="E408" s="4" t="n"/>
    </row>
    <row r="409" ht="15.75" customHeight="1">
      <c r="E409" s="4" t="n"/>
    </row>
    <row r="410" ht="15.75" customHeight="1">
      <c r="E410" s="4" t="n"/>
    </row>
    <row r="411" ht="15.75" customHeight="1">
      <c r="E411" s="4" t="n"/>
    </row>
    <row r="412" ht="15.75" customHeight="1">
      <c r="E412" s="4" t="n"/>
    </row>
    <row r="413" ht="15.75" customHeight="1">
      <c r="E413" s="4" t="n"/>
    </row>
    <row r="414" ht="15.75" customHeight="1">
      <c r="E414" s="4" t="n"/>
    </row>
    <row r="415" ht="15.75" customHeight="1">
      <c r="E415" s="4" t="n"/>
    </row>
    <row r="416" ht="15.75" customHeight="1">
      <c r="E416" s="4" t="n"/>
    </row>
    <row r="417" ht="15.75" customHeight="1">
      <c r="E417" s="4" t="n"/>
    </row>
    <row r="418" ht="15.75" customHeight="1">
      <c r="E418" s="4" t="n"/>
    </row>
    <row r="419" ht="15.75" customHeight="1">
      <c r="E419" s="4" t="n"/>
    </row>
    <row r="420" ht="15.75" customHeight="1">
      <c r="E420" s="4" t="n"/>
    </row>
    <row r="421" ht="15.75" customHeight="1">
      <c r="E421" s="4" t="n"/>
    </row>
    <row r="422" ht="15.75" customHeight="1">
      <c r="E422" s="4" t="n"/>
    </row>
    <row r="423" ht="15.75" customHeight="1">
      <c r="E423" s="4" t="n"/>
    </row>
    <row r="424" ht="15.75" customHeight="1">
      <c r="E424" s="4" t="n"/>
    </row>
    <row r="425" ht="15.75" customHeight="1">
      <c r="E425" s="4" t="n"/>
    </row>
    <row r="426" ht="15.75" customHeight="1">
      <c r="E426" s="4" t="n"/>
    </row>
    <row r="427" ht="15.75" customHeight="1">
      <c r="E427" s="4" t="n"/>
    </row>
    <row r="428" ht="15.75" customHeight="1">
      <c r="E428" s="4" t="n"/>
    </row>
    <row r="429" ht="15.75" customHeight="1">
      <c r="E429" s="4" t="n"/>
    </row>
    <row r="430" ht="15.75" customHeight="1">
      <c r="E430" s="4" t="n"/>
    </row>
    <row r="431" ht="15.75" customHeight="1">
      <c r="E431" s="4" t="n"/>
    </row>
    <row r="432" ht="15.75" customHeight="1">
      <c r="E432" s="4" t="n"/>
    </row>
    <row r="433" ht="15.75" customHeight="1">
      <c r="E433" s="4" t="n"/>
    </row>
    <row r="434" ht="15.75" customHeight="1">
      <c r="E434" s="4" t="n"/>
    </row>
    <row r="435" ht="15.75" customHeight="1">
      <c r="E435" s="4" t="n"/>
    </row>
    <row r="436" ht="15.75" customHeight="1">
      <c r="E436" s="4" t="n"/>
    </row>
    <row r="437" ht="15.75" customHeight="1">
      <c r="E437" s="4" t="n"/>
    </row>
    <row r="438" ht="15.75" customHeight="1">
      <c r="E438" s="4" t="n"/>
    </row>
    <row r="439" ht="15.75" customHeight="1">
      <c r="E439" s="4" t="n"/>
    </row>
    <row r="440" ht="15.75" customHeight="1">
      <c r="E440" s="4" t="n"/>
    </row>
    <row r="441" ht="15.75" customHeight="1">
      <c r="E441" s="4" t="n"/>
    </row>
    <row r="442" ht="15.75" customHeight="1">
      <c r="E442" s="4" t="n"/>
    </row>
    <row r="443" ht="15.75" customHeight="1">
      <c r="E443" s="4" t="n"/>
    </row>
    <row r="444" ht="15.75" customHeight="1">
      <c r="E444" s="4" t="n"/>
    </row>
    <row r="445" ht="15.75" customHeight="1">
      <c r="E445" s="4" t="n"/>
    </row>
    <row r="446" ht="15.75" customHeight="1">
      <c r="E446" s="4" t="n"/>
    </row>
    <row r="447" ht="15.75" customHeight="1">
      <c r="E447" s="4" t="n"/>
    </row>
    <row r="448" ht="15.75" customHeight="1">
      <c r="E448" s="4" t="n"/>
    </row>
    <row r="449" ht="15.75" customHeight="1">
      <c r="E449" s="4" t="n"/>
    </row>
    <row r="450" ht="15.75" customHeight="1">
      <c r="E450" s="4" t="n"/>
    </row>
    <row r="451" ht="15.75" customHeight="1">
      <c r="E451" s="4" t="n"/>
    </row>
    <row r="452" ht="15.75" customHeight="1">
      <c r="E452" s="4" t="n"/>
    </row>
    <row r="453" ht="15.75" customHeight="1">
      <c r="E453" s="4" t="n"/>
    </row>
    <row r="454" ht="15.75" customHeight="1">
      <c r="E454" s="4" t="n"/>
    </row>
    <row r="455" ht="15.75" customHeight="1">
      <c r="E455" s="4" t="n"/>
    </row>
    <row r="456" ht="15.75" customHeight="1">
      <c r="E456" s="4" t="n"/>
    </row>
    <row r="457" ht="15.75" customHeight="1">
      <c r="E457" s="4" t="n"/>
    </row>
    <row r="458" ht="15.75" customHeight="1">
      <c r="E458" s="4" t="n"/>
    </row>
    <row r="459" ht="15.75" customHeight="1">
      <c r="E459" s="4" t="n"/>
    </row>
    <row r="460" ht="15.75" customHeight="1">
      <c r="E460" s="4" t="n"/>
    </row>
    <row r="461" ht="15.75" customHeight="1">
      <c r="E461" s="4" t="n"/>
    </row>
    <row r="462" ht="15.75" customHeight="1">
      <c r="E462" s="4" t="n"/>
    </row>
    <row r="463" ht="15.75" customHeight="1">
      <c r="E463" s="4" t="n"/>
    </row>
    <row r="464" ht="15.75" customHeight="1">
      <c r="E464" s="4" t="n"/>
    </row>
    <row r="465" ht="15.75" customHeight="1">
      <c r="E465" s="4" t="n"/>
    </row>
    <row r="466" ht="15.75" customHeight="1">
      <c r="E466" s="4" t="n"/>
    </row>
    <row r="467" ht="15.75" customHeight="1">
      <c r="E467" s="4" t="n"/>
    </row>
    <row r="468" ht="15.75" customHeight="1">
      <c r="E468" s="4" t="n"/>
    </row>
    <row r="469" ht="15.75" customHeight="1">
      <c r="E469" s="4" t="n"/>
    </row>
    <row r="470" ht="15.75" customHeight="1">
      <c r="E470" s="4" t="n"/>
    </row>
    <row r="471" ht="15.75" customHeight="1">
      <c r="E471" s="4" t="n"/>
    </row>
    <row r="472" ht="15.75" customHeight="1">
      <c r="E472" s="4" t="n"/>
    </row>
    <row r="473" ht="15.75" customHeight="1">
      <c r="E473" s="4" t="n"/>
    </row>
    <row r="474" ht="15.75" customHeight="1">
      <c r="E474" s="4" t="n"/>
    </row>
    <row r="475" ht="15.75" customHeight="1">
      <c r="E475" s="4" t="n"/>
    </row>
    <row r="476" ht="15.75" customHeight="1">
      <c r="E476" s="4" t="n"/>
    </row>
    <row r="477" ht="15.75" customHeight="1">
      <c r="E477" s="4" t="n"/>
    </row>
    <row r="478" ht="15.75" customHeight="1">
      <c r="E478" s="4" t="n"/>
    </row>
    <row r="479" ht="15.75" customHeight="1">
      <c r="E479" s="4" t="n"/>
    </row>
    <row r="480" ht="15.75" customHeight="1">
      <c r="E480" s="4" t="n"/>
    </row>
    <row r="481" ht="15.75" customHeight="1">
      <c r="E481" s="4" t="n"/>
    </row>
    <row r="482" ht="15.75" customHeight="1">
      <c r="E482" s="4" t="n"/>
    </row>
    <row r="483" ht="15.75" customHeight="1">
      <c r="E483" s="4" t="n"/>
    </row>
    <row r="484" ht="15.75" customHeight="1">
      <c r="E484" s="4" t="n"/>
    </row>
    <row r="485" ht="15.75" customHeight="1">
      <c r="E485" s="4" t="n"/>
    </row>
    <row r="486" ht="15.75" customHeight="1">
      <c r="E486" s="4" t="n"/>
    </row>
    <row r="487" ht="15.75" customHeight="1">
      <c r="E487" s="4" t="n"/>
    </row>
    <row r="488" ht="15.75" customHeight="1">
      <c r="E488" s="4" t="n"/>
    </row>
    <row r="489" ht="15.75" customHeight="1">
      <c r="E489" s="4" t="n"/>
    </row>
    <row r="490" ht="15.75" customHeight="1">
      <c r="E490" s="4" t="n"/>
    </row>
    <row r="491" ht="15.75" customHeight="1">
      <c r="E491" s="4" t="n"/>
    </row>
    <row r="492" ht="15.75" customHeight="1">
      <c r="E492" s="4" t="n"/>
    </row>
    <row r="493" ht="15.75" customHeight="1">
      <c r="E493" s="4" t="n"/>
    </row>
    <row r="494" ht="15.75" customHeight="1">
      <c r="E494" s="4" t="n"/>
    </row>
    <row r="495" ht="15.75" customHeight="1">
      <c r="E495" s="4" t="n"/>
    </row>
    <row r="496" ht="15.75" customHeight="1">
      <c r="E496" s="4" t="n"/>
    </row>
    <row r="497" ht="15.75" customHeight="1">
      <c r="E497" s="4" t="n"/>
    </row>
    <row r="498" ht="15.75" customHeight="1">
      <c r="E498" s="4" t="n"/>
    </row>
    <row r="499" ht="15.75" customHeight="1">
      <c r="E499" s="4" t="n"/>
    </row>
    <row r="500" ht="15.75" customHeight="1">
      <c r="E500" s="4" t="n"/>
    </row>
    <row r="501" ht="15.75" customHeight="1">
      <c r="E501" s="4" t="n"/>
    </row>
    <row r="502" ht="15.75" customHeight="1">
      <c r="E502" s="4" t="n"/>
    </row>
    <row r="503" ht="15.75" customHeight="1">
      <c r="E503" s="4" t="n"/>
    </row>
    <row r="504" ht="15.75" customHeight="1">
      <c r="E504" s="4" t="n"/>
    </row>
    <row r="505" ht="15.75" customHeight="1">
      <c r="E505" s="4" t="n"/>
    </row>
    <row r="506" ht="15.75" customHeight="1">
      <c r="E506" s="4" t="n"/>
    </row>
    <row r="507" ht="15.75" customHeight="1">
      <c r="E507" s="4" t="n"/>
    </row>
    <row r="508" ht="15.75" customHeight="1">
      <c r="E508" s="4" t="n"/>
    </row>
    <row r="509" ht="15.75" customHeight="1">
      <c r="E509" s="4" t="n"/>
    </row>
    <row r="510" ht="15.75" customHeight="1">
      <c r="E510" s="4" t="n"/>
    </row>
    <row r="511" ht="15.75" customHeight="1">
      <c r="E511" s="4" t="n"/>
    </row>
    <row r="512" ht="15.75" customHeight="1">
      <c r="E512" s="4" t="n"/>
    </row>
    <row r="513" ht="15.75" customHeight="1">
      <c r="E513" s="4" t="n"/>
    </row>
    <row r="514" ht="15.75" customHeight="1">
      <c r="E514" s="4" t="n"/>
    </row>
    <row r="515" ht="15.75" customHeight="1">
      <c r="E515" s="4" t="n"/>
    </row>
    <row r="516" ht="15.75" customHeight="1">
      <c r="E516" s="4" t="n"/>
    </row>
    <row r="517" ht="15.75" customHeight="1">
      <c r="E517" s="4" t="n"/>
    </row>
    <row r="518" ht="15.75" customHeight="1">
      <c r="E518" s="4" t="n"/>
    </row>
    <row r="519" ht="15.75" customHeight="1">
      <c r="E519" s="4" t="n"/>
    </row>
    <row r="520" ht="15.75" customHeight="1">
      <c r="E520" s="4" t="n"/>
    </row>
    <row r="521" ht="15.75" customHeight="1">
      <c r="E521" s="4" t="n"/>
    </row>
    <row r="522" ht="15.75" customHeight="1">
      <c r="E522" s="4" t="n"/>
    </row>
    <row r="523" ht="15.75" customHeight="1">
      <c r="E523" s="4" t="n"/>
    </row>
    <row r="524" ht="15.75" customHeight="1">
      <c r="E524" s="4" t="n"/>
    </row>
    <row r="525" ht="15.75" customHeight="1">
      <c r="E525" s="4" t="n"/>
    </row>
    <row r="526" ht="15.75" customHeight="1">
      <c r="E526" s="4" t="n"/>
    </row>
    <row r="527" ht="15.75" customHeight="1">
      <c r="E527" s="4" t="n"/>
    </row>
    <row r="528" ht="15.75" customHeight="1">
      <c r="E528" s="4" t="n"/>
    </row>
    <row r="529" ht="15.75" customHeight="1">
      <c r="E529" s="4" t="n"/>
    </row>
    <row r="530" ht="15.75" customHeight="1">
      <c r="E530" s="4" t="n"/>
    </row>
    <row r="531" ht="15.75" customHeight="1">
      <c r="E531" s="4" t="n"/>
    </row>
    <row r="532" ht="15.75" customHeight="1">
      <c r="E532" s="4" t="n"/>
    </row>
    <row r="533" ht="15.75" customHeight="1">
      <c r="E533" s="4" t="n"/>
    </row>
    <row r="534" ht="15.75" customHeight="1">
      <c r="E534" s="4" t="n"/>
    </row>
    <row r="535" ht="15.75" customHeight="1">
      <c r="E535" s="4" t="n"/>
    </row>
    <row r="536" ht="15.75" customHeight="1">
      <c r="E536" s="4" t="n"/>
    </row>
    <row r="537" ht="15.75" customHeight="1">
      <c r="E537" s="4" t="n"/>
    </row>
    <row r="538" ht="15.75" customHeight="1">
      <c r="E538" s="4" t="n"/>
    </row>
    <row r="539" ht="15.75" customHeight="1">
      <c r="E539" s="4" t="n"/>
    </row>
    <row r="540" ht="15.75" customHeight="1">
      <c r="E540" s="4" t="n"/>
    </row>
    <row r="541" ht="15.75" customHeight="1">
      <c r="E541" s="4" t="n"/>
    </row>
    <row r="542" ht="15.75" customHeight="1">
      <c r="E542" s="4" t="n"/>
    </row>
    <row r="543" ht="15.75" customHeight="1">
      <c r="E543" s="4" t="n"/>
    </row>
    <row r="544" ht="15.75" customHeight="1">
      <c r="E544" s="4" t="n"/>
    </row>
    <row r="545" ht="15.75" customHeight="1">
      <c r="E545" s="4" t="n"/>
    </row>
    <row r="546" ht="15.75" customHeight="1">
      <c r="E546" s="4" t="n"/>
    </row>
    <row r="547" ht="15.75" customHeight="1">
      <c r="E547" s="4" t="n"/>
    </row>
    <row r="548" ht="15.75" customHeight="1">
      <c r="E548" s="4" t="n"/>
    </row>
    <row r="549" ht="15.75" customHeight="1">
      <c r="E549" s="4" t="n"/>
    </row>
    <row r="550" ht="15.75" customHeight="1">
      <c r="E550" s="4" t="n"/>
    </row>
    <row r="551" ht="15.75" customHeight="1">
      <c r="E551" s="4" t="n"/>
    </row>
    <row r="552" ht="15.75" customHeight="1">
      <c r="E552" s="4" t="n"/>
    </row>
    <row r="553" ht="15.75" customHeight="1">
      <c r="E553" s="4" t="n"/>
    </row>
    <row r="554" ht="15.75" customHeight="1">
      <c r="E554" s="4" t="n"/>
    </row>
    <row r="555" ht="15.75" customHeight="1">
      <c r="E555" s="4" t="n"/>
    </row>
    <row r="556" ht="15.75" customHeight="1">
      <c r="E556" s="4" t="n"/>
    </row>
    <row r="557" ht="15.75" customHeight="1">
      <c r="E557" s="4" t="n"/>
    </row>
    <row r="558" ht="15.75" customHeight="1">
      <c r="E558" s="4" t="n"/>
    </row>
    <row r="559" ht="15.75" customHeight="1">
      <c r="E559" s="4" t="n"/>
    </row>
    <row r="560" ht="15.75" customHeight="1">
      <c r="E560" s="4" t="n"/>
    </row>
    <row r="561" ht="15.75" customHeight="1">
      <c r="E561" s="4" t="n"/>
    </row>
    <row r="562" ht="15.75" customHeight="1">
      <c r="E562" s="4" t="n"/>
    </row>
    <row r="563" ht="15.75" customHeight="1">
      <c r="E563" s="4" t="n"/>
    </row>
    <row r="564" ht="15.75" customHeight="1">
      <c r="E564" s="4" t="n"/>
    </row>
    <row r="565" ht="15.75" customHeight="1">
      <c r="E565" s="4" t="n"/>
    </row>
    <row r="566" ht="15.75" customHeight="1">
      <c r="E566" s="4" t="n"/>
    </row>
    <row r="567" ht="15.75" customHeight="1">
      <c r="E567" s="4" t="n"/>
    </row>
    <row r="568" ht="15.75" customHeight="1">
      <c r="E568" s="4" t="n"/>
    </row>
    <row r="569" ht="15.75" customHeight="1">
      <c r="E569" s="4" t="n"/>
    </row>
    <row r="570" ht="15.75" customHeight="1">
      <c r="E570" s="4" t="n"/>
    </row>
    <row r="571" ht="15.75" customHeight="1">
      <c r="E571" s="4" t="n"/>
    </row>
    <row r="572" ht="15.75" customHeight="1">
      <c r="E572" s="4" t="n"/>
    </row>
    <row r="573" ht="15.75" customHeight="1">
      <c r="E573" s="4" t="n"/>
    </row>
    <row r="574" ht="15.75" customHeight="1">
      <c r="E574" s="4" t="n"/>
    </row>
    <row r="575" ht="15.75" customHeight="1">
      <c r="E575" s="4" t="n"/>
    </row>
    <row r="576" ht="15.75" customHeight="1">
      <c r="E576" s="4" t="n"/>
    </row>
    <row r="577" ht="15.75" customHeight="1">
      <c r="E577" s="4" t="n"/>
    </row>
    <row r="578" ht="15.75" customHeight="1">
      <c r="E578" s="4" t="n"/>
    </row>
    <row r="579" ht="15.75" customHeight="1">
      <c r="E579" s="4" t="n"/>
    </row>
    <row r="580" ht="15.75" customHeight="1">
      <c r="E580" s="4" t="n"/>
    </row>
    <row r="581" ht="15.75" customHeight="1">
      <c r="E581" s="4" t="n"/>
    </row>
    <row r="582" ht="15.75" customHeight="1">
      <c r="E582" s="4" t="n"/>
    </row>
    <row r="583" ht="15.75" customHeight="1">
      <c r="E583" s="4" t="n"/>
    </row>
    <row r="584" ht="15.75" customHeight="1">
      <c r="E584" s="4" t="n"/>
    </row>
    <row r="585" ht="15.75" customHeight="1">
      <c r="E585" s="4" t="n"/>
    </row>
    <row r="586" ht="15.75" customHeight="1">
      <c r="E586" s="4" t="n"/>
    </row>
    <row r="587" ht="15.75" customHeight="1">
      <c r="E587" s="4" t="n"/>
    </row>
    <row r="588" ht="15.75" customHeight="1">
      <c r="E588" s="4" t="n"/>
    </row>
    <row r="589" ht="15.75" customHeight="1">
      <c r="E589" s="4" t="n"/>
    </row>
    <row r="590" ht="15.75" customHeight="1">
      <c r="E590" s="4" t="n"/>
    </row>
    <row r="591" ht="15.75" customHeight="1">
      <c r="E591" s="4" t="n"/>
    </row>
    <row r="592" ht="15.75" customHeight="1">
      <c r="E592" s="4" t="n"/>
    </row>
    <row r="593" ht="15.75" customHeight="1">
      <c r="E593" s="4" t="n"/>
    </row>
    <row r="594" ht="15.75" customHeight="1">
      <c r="E594" s="4" t="n"/>
    </row>
    <row r="595" ht="15.75" customHeight="1">
      <c r="E595" s="4" t="n"/>
    </row>
    <row r="596" ht="15.75" customHeight="1">
      <c r="E596" s="4" t="n"/>
    </row>
    <row r="597" ht="15.75" customHeight="1">
      <c r="E597" s="4" t="n"/>
    </row>
    <row r="598" ht="15.75" customHeight="1">
      <c r="E598" s="4" t="n"/>
    </row>
    <row r="599" ht="15.75" customHeight="1">
      <c r="E599" s="4" t="n"/>
    </row>
    <row r="600" ht="15.75" customHeight="1">
      <c r="E600" s="4" t="n"/>
    </row>
    <row r="601" ht="15.75" customHeight="1">
      <c r="E601" s="4" t="n"/>
    </row>
    <row r="602" ht="15.75" customHeight="1">
      <c r="E602" s="4" t="n"/>
    </row>
    <row r="603" ht="15.75" customHeight="1">
      <c r="E603" s="4" t="n"/>
    </row>
    <row r="604" ht="15.75" customHeight="1">
      <c r="E604" s="4" t="n"/>
    </row>
    <row r="605" ht="15.75" customHeight="1">
      <c r="E605" s="4" t="n"/>
    </row>
    <row r="606" ht="15.75" customHeight="1">
      <c r="E606" s="4" t="n"/>
    </row>
    <row r="607" ht="15.75" customHeight="1">
      <c r="E607" s="4" t="n"/>
    </row>
    <row r="608" ht="15.75" customHeight="1">
      <c r="E608" s="4" t="n"/>
    </row>
    <row r="609" ht="15.75" customHeight="1">
      <c r="E609" s="4" t="n"/>
    </row>
    <row r="610" ht="15.75" customHeight="1">
      <c r="E610" s="4" t="n"/>
    </row>
    <row r="611" ht="15.75" customHeight="1">
      <c r="E611" s="4" t="n"/>
    </row>
    <row r="612" ht="15.75" customHeight="1">
      <c r="E612" s="4" t="n"/>
    </row>
    <row r="613" ht="15.75" customHeight="1">
      <c r="E613" s="4" t="n"/>
    </row>
    <row r="614" ht="15.75" customHeight="1">
      <c r="E614" s="4" t="n"/>
    </row>
    <row r="615" ht="15.75" customHeight="1">
      <c r="E615" s="4" t="n"/>
    </row>
    <row r="616" ht="15.75" customHeight="1">
      <c r="E616" s="4" t="n"/>
    </row>
    <row r="617" ht="15.75" customHeight="1">
      <c r="E617" s="4" t="n"/>
    </row>
    <row r="618" ht="15.75" customHeight="1">
      <c r="E618" s="4" t="n"/>
    </row>
    <row r="619" ht="15.75" customHeight="1">
      <c r="E619" s="4" t="n"/>
    </row>
    <row r="620" ht="15.75" customHeight="1">
      <c r="E620" s="4" t="n"/>
    </row>
    <row r="621" ht="15.75" customHeight="1">
      <c r="E621" s="4" t="n"/>
    </row>
    <row r="622" ht="15.75" customHeight="1">
      <c r="E622" s="4" t="n"/>
    </row>
    <row r="623" ht="15.75" customHeight="1">
      <c r="E623" s="4" t="n"/>
    </row>
    <row r="624" ht="15.75" customHeight="1">
      <c r="E624" s="4" t="n"/>
    </row>
    <row r="625" ht="15.75" customHeight="1">
      <c r="E625" s="4" t="n"/>
    </row>
    <row r="626" ht="15.75" customHeight="1">
      <c r="E626" s="4" t="n"/>
    </row>
    <row r="627" ht="15.75" customHeight="1">
      <c r="E627" s="4" t="n"/>
    </row>
    <row r="628" ht="15.75" customHeight="1">
      <c r="E628" s="4" t="n"/>
    </row>
    <row r="629" ht="15.75" customHeight="1">
      <c r="E629" s="4" t="n"/>
    </row>
    <row r="630" ht="15.75" customHeight="1">
      <c r="E630" s="4" t="n"/>
    </row>
    <row r="631" ht="15.75" customHeight="1">
      <c r="E631" s="4" t="n"/>
    </row>
    <row r="632" ht="15.75" customHeight="1">
      <c r="E632" s="4" t="n"/>
    </row>
    <row r="633" ht="15.75" customHeight="1">
      <c r="E633" s="4" t="n"/>
    </row>
    <row r="634" ht="15.75" customHeight="1">
      <c r="E634" s="4" t="n"/>
    </row>
    <row r="635" ht="15.75" customHeight="1">
      <c r="E635" s="4" t="n"/>
    </row>
    <row r="636" ht="15.75" customHeight="1">
      <c r="E636" s="4" t="n"/>
    </row>
    <row r="637" ht="15.75" customHeight="1">
      <c r="E637" s="4" t="n"/>
    </row>
    <row r="638" ht="15.75" customHeight="1">
      <c r="E638" s="4" t="n"/>
    </row>
    <row r="639" ht="15.75" customHeight="1">
      <c r="E639" s="4" t="n"/>
    </row>
    <row r="640" ht="15.75" customHeight="1">
      <c r="E640" s="4" t="n"/>
    </row>
    <row r="641" ht="15.75" customHeight="1">
      <c r="E641" s="4" t="n"/>
    </row>
    <row r="642" ht="15.75" customHeight="1">
      <c r="E642" s="4" t="n"/>
    </row>
    <row r="643" ht="15.75" customHeight="1">
      <c r="E643" s="4" t="n"/>
    </row>
    <row r="644" ht="15.75" customHeight="1">
      <c r="E644" s="4" t="n"/>
    </row>
    <row r="645" ht="15.75" customHeight="1">
      <c r="E645" s="4" t="n"/>
    </row>
    <row r="646" ht="15.75" customHeight="1">
      <c r="E646" s="4" t="n"/>
    </row>
    <row r="647" ht="15.75" customHeight="1">
      <c r="E647" s="4" t="n"/>
    </row>
    <row r="648" ht="15.75" customHeight="1">
      <c r="E648" s="4" t="n"/>
    </row>
    <row r="649" ht="15.75" customHeight="1">
      <c r="E649" s="4" t="n"/>
    </row>
    <row r="650" ht="15.75" customHeight="1">
      <c r="E650" s="4" t="n"/>
    </row>
    <row r="651" ht="15.75" customHeight="1">
      <c r="E651" s="4" t="n"/>
    </row>
    <row r="652" ht="15.75" customHeight="1">
      <c r="E652" s="4" t="n"/>
    </row>
    <row r="653" ht="15.75" customHeight="1">
      <c r="E653" s="4" t="n"/>
    </row>
    <row r="654" ht="15.75" customHeight="1">
      <c r="E654" s="4" t="n"/>
    </row>
    <row r="655" ht="15.75" customHeight="1">
      <c r="E655" s="4" t="n"/>
    </row>
    <row r="656" ht="15.75" customHeight="1">
      <c r="E656" s="4" t="n"/>
    </row>
    <row r="657" ht="15.75" customHeight="1">
      <c r="E657" s="4" t="n"/>
    </row>
    <row r="658" ht="15.75" customHeight="1">
      <c r="E658" s="4" t="n"/>
    </row>
    <row r="659" ht="15.75" customHeight="1">
      <c r="E659" s="4" t="n"/>
    </row>
    <row r="660" ht="15.75" customHeight="1">
      <c r="E660" s="4" t="n"/>
    </row>
    <row r="661" ht="15.75" customHeight="1">
      <c r="E661" s="4" t="n"/>
    </row>
    <row r="662" ht="15.75" customHeight="1">
      <c r="E662" s="4" t="n"/>
    </row>
    <row r="663" ht="15.75" customHeight="1">
      <c r="E663" s="4" t="n"/>
    </row>
    <row r="664" ht="15.75" customHeight="1">
      <c r="E664" s="4" t="n"/>
    </row>
    <row r="665" ht="15.75" customHeight="1">
      <c r="E665" s="4" t="n"/>
    </row>
    <row r="666" ht="15.75" customHeight="1">
      <c r="E666" s="4" t="n"/>
    </row>
    <row r="667" ht="15.75" customHeight="1">
      <c r="E667" s="4" t="n"/>
    </row>
    <row r="668" ht="15.75" customHeight="1">
      <c r="E668" s="4" t="n"/>
    </row>
    <row r="669" ht="15.75" customHeight="1">
      <c r="E669" s="4" t="n"/>
    </row>
    <row r="670" ht="15.75" customHeight="1">
      <c r="E670" s="4" t="n"/>
    </row>
    <row r="671" ht="15.75" customHeight="1">
      <c r="E671" s="4" t="n"/>
    </row>
    <row r="672" ht="15.75" customHeight="1">
      <c r="E672" s="4" t="n"/>
    </row>
    <row r="673" ht="15.75" customHeight="1">
      <c r="E673" s="4" t="n"/>
    </row>
    <row r="674" ht="15.75" customHeight="1">
      <c r="E674" s="4" t="n"/>
    </row>
    <row r="675" ht="15.75" customHeight="1">
      <c r="E675" s="4" t="n"/>
    </row>
    <row r="676" ht="15.75" customHeight="1">
      <c r="E676" s="4" t="n"/>
    </row>
    <row r="677" ht="15.75" customHeight="1">
      <c r="E677" s="4" t="n"/>
    </row>
    <row r="678" ht="15.75" customHeight="1">
      <c r="E678" s="4" t="n"/>
    </row>
    <row r="679" ht="15.75" customHeight="1">
      <c r="E679" s="4" t="n"/>
    </row>
    <row r="680" ht="15.75" customHeight="1">
      <c r="E680" s="4" t="n"/>
    </row>
    <row r="681" ht="15.75" customHeight="1">
      <c r="E681" s="4" t="n"/>
    </row>
    <row r="682" ht="15.75" customHeight="1">
      <c r="E682" s="4" t="n"/>
    </row>
    <row r="683" ht="15.75" customHeight="1">
      <c r="E683" s="4" t="n"/>
    </row>
    <row r="684" ht="15.75" customHeight="1">
      <c r="E684" s="4" t="n"/>
    </row>
    <row r="685" ht="15.75" customHeight="1">
      <c r="E685" s="4" t="n"/>
    </row>
    <row r="686" ht="15.75" customHeight="1">
      <c r="E686" s="4" t="n"/>
    </row>
    <row r="687" ht="15.75" customHeight="1">
      <c r="E687" s="4" t="n"/>
    </row>
    <row r="688" ht="15.75" customHeight="1">
      <c r="E688" s="4" t="n"/>
    </row>
    <row r="689" ht="15.75" customHeight="1">
      <c r="E689" s="4" t="n"/>
    </row>
    <row r="690" ht="15.75" customHeight="1">
      <c r="E690" s="4" t="n"/>
    </row>
    <row r="691" ht="15.75" customHeight="1">
      <c r="E691" s="4" t="n"/>
    </row>
    <row r="692" ht="15.75" customHeight="1">
      <c r="E692" s="4" t="n"/>
    </row>
    <row r="693" ht="15.75" customHeight="1">
      <c r="E693" s="4" t="n"/>
    </row>
    <row r="694" ht="15.75" customHeight="1">
      <c r="E694" s="4" t="n"/>
    </row>
    <row r="695" ht="15.75" customHeight="1">
      <c r="E695" s="4" t="n"/>
    </row>
    <row r="696" ht="15.75" customHeight="1">
      <c r="E696" s="4" t="n"/>
    </row>
    <row r="697" ht="15.75" customHeight="1">
      <c r="E697" s="4" t="n"/>
    </row>
    <row r="698" ht="15.75" customHeight="1">
      <c r="E698" s="4" t="n"/>
    </row>
    <row r="699" ht="15.75" customHeight="1">
      <c r="E699" s="4" t="n"/>
    </row>
    <row r="700" ht="15.75" customHeight="1">
      <c r="E700" s="4" t="n"/>
    </row>
    <row r="701" ht="15.75" customHeight="1">
      <c r="E701" s="4" t="n"/>
    </row>
    <row r="702" ht="15.75" customHeight="1">
      <c r="E702" s="4" t="n"/>
    </row>
    <row r="703" ht="15.75" customHeight="1">
      <c r="E703" s="4" t="n"/>
    </row>
    <row r="704" ht="15.75" customHeight="1">
      <c r="E704" s="4" t="n"/>
    </row>
    <row r="705" ht="15.75" customHeight="1">
      <c r="E705" s="4" t="n"/>
    </row>
    <row r="706" ht="15.75" customHeight="1">
      <c r="E706" s="4" t="n"/>
    </row>
    <row r="707" ht="15.75" customHeight="1">
      <c r="E707" s="4" t="n"/>
    </row>
    <row r="708" ht="15.75" customHeight="1">
      <c r="E708" s="4" t="n"/>
    </row>
    <row r="709" ht="15.75" customHeight="1">
      <c r="E709" s="4" t="n"/>
    </row>
    <row r="710" ht="15.75" customHeight="1">
      <c r="E710" s="4" t="n"/>
    </row>
    <row r="711" ht="15.75" customHeight="1">
      <c r="E711" s="4" t="n"/>
    </row>
    <row r="712" ht="15.75" customHeight="1">
      <c r="E712" s="4" t="n"/>
    </row>
    <row r="713" ht="15.75" customHeight="1">
      <c r="E713" s="4" t="n"/>
    </row>
    <row r="714" ht="15.75" customHeight="1">
      <c r="E714" s="4" t="n"/>
    </row>
    <row r="715" ht="15.75" customHeight="1">
      <c r="E715" s="4" t="n"/>
    </row>
    <row r="716" ht="15.75" customHeight="1">
      <c r="E716" s="4" t="n"/>
    </row>
    <row r="717" ht="15.75" customHeight="1">
      <c r="E717" s="4" t="n"/>
    </row>
    <row r="718" ht="15.75" customHeight="1">
      <c r="E718" s="4" t="n"/>
    </row>
    <row r="719" ht="15.75" customHeight="1">
      <c r="E719" s="4" t="n"/>
    </row>
    <row r="720" ht="15.75" customHeight="1">
      <c r="E720" s="4" t="n"/>
    </row>
    <row r="721" ht="15.75" customHeight="1">
      <c r="E721" s="4" t="n"/>
    </row>
    <row r="722" ht="15.75" customHeight="1">
      <c r="E722" s="4" t="n"/>
    </row>
    <row r="723" ht="15.75" customHeight="1">
      <c r="E723" s="4" t="n"/>
    </row>
    <row r="724" ht="15.75" customHeight="1">
      <c r="E724" s="4" t="n"/>
    </row>
    <row r="725" ht="15.75" customHeight="1">
      <c r="E725" s="4" t="n"/>
    </row>
    <row r="726" ht="15.75" customHeight="1">
      <c r="E726" s="4" t="n"/>
    </row>
    <row r="727" ht="15.75" customHeight="1">
      <c r="E727" s="4" t="n"/>
    </row>
    <row r="728" ht="15.75" customHeight="1">
      <c r="E728" s="4" t="n"/>
    </row>
    <row r="729" ht="15.75" customHeight="1">
      <c r="E729" s="4" t="n"/>
    </row>
    <row r="730" ht="15.75" customHeight="1">
      <c r="E730" s="4" t="n"/>
    </row>
    <row r="731" ht="15.75" customHeight="1">
      <c r="E731" s="4" t="n"/>
    </row>
    <row r="732" ht="15.75" customHeight="1">
      <c r="E732" s="4" t="n"/>
    </row>
    <row r="733" ht="15.75" customHeight="1">
      <c r="E733" s="4" t="n"/>
    </row>
    <row r="734" ht="15.75" customHeight="1">
      <c r="E734" s="4" t="n"/>
    </row>
    <row r="735" ht="15.75" customHeight="1">
      <c r="E735" s="4" t="n"/>
    </row>
    <row r="736" ht="15.75" customHeight="1">
      <c r="E736" s="4" t="n"/>
    </row>
    <row r="737" ht="15.75" customHeight="1">
      <c r="E737" s="4" t="n"/>
    </row>
    <row r="738" ht="15.75" customHeight="1">
      <c r="E738" s="4" t="n"/>
    </row>
    <row r="739" ht="15.75" customHeight="1">
      <c r="E739" s="4" t="n"/>
    </row>
    <row r="740" ht="15.75" customHeight="1">
      <c r="E740" s="4" t="n"/>
    </row>
    <row r="741" ht="15.75" customHeight="1">
      <c r="E741" s="4" t="n"/>
    </row>
    <row r="742" ht="15.75" customHeight="1">
      <c r="E742" s="4" t="n"/>
    </row>
    <row r="743" ht="15.75" customHeight="1">
      <c r="E743" s="4" t="n"/>
    </row>
    <row r="744" ht="15.75" customHeight="1">
      <c r="E744" s="4" t="n"/>
    </row>
    <row r="745" ht="15.75" customHeight="1">
      <c r="E745" s="4" t="n"/>
    </row>
    <row r="746" ht="15.75" customHeight="1">
      <c r="E746" s="4" t="n"/>
    </row>
    <row r="747" ht="15.75" customHeight="1">
      <c r="E747" s="4" t="n"/>
    </row>
    <row r="748" ht="15.75" customHeight="1">
      <c r="E748" s="4" t="n"/>
    </row>
    <row r="749" ht="15.75" customHeight="1">
      <c r="E749" s="4" t="n"/>
    </row>
    <row r="750" ht="15.75" customHeight="1">
      <c r="E750" s="4" t="n"/>
    </row>
    <row r="751" ht="15.75" customHeight="1">
      <c r="E751" s="4" t="n"/>
    </row>
    <row r="752" ht="15.75" customHeight="1">
      <c r="E752" s="4" t="n"/>
    </row>
    <row r="753" ht="15.75" customHeight="1">
      <c r="E753" s="4" t="n"/>
    </row>
    <row r="754" ht="15.75" customHeight="1">
      <c r="E754" s="4" t="n"/>
    </row>
    <row r="755" ht="15.75" customHeight="1">
      <c r="E755" s="4" t="n"/>
    </row>
    <row r="756" ht="15.75" customHeight="1">
      <c r="E756" s="4" t="n"/>
    </row>
    <row r="757" ht="15.75" customHeight="1">
      <c r="E757" s="4" t="n"/>
    </row>
    <row r="758" ht="15.75" customHeight="1">
      <c r="E758" s="4" t="n"/>
    </row>
    <row r="759" ht="15.75" customHeight="1">
      <c r="E759" s="4" t="n"/>
    </row>
    <row r="760" ht="15.75" customHeight="1">
      <c r="E760" s="4" t="n"/>
    </row>
    <row r="761" ht="15.75" customHeight="1">
      <c r="E761" s="4" t="n"/>
    </row>
    <row r="762" ht="15.75" customHeight="1">
      <c r="E762" s="4" t="n"/>
    </row>
    <row r="763" ht="15.75" customHeight="1">
      <c r="E763" s="4" t="n"/>
    </row>
    <row r="764" ht="15.75" customHeight="1">
      <c r="E764" s="4" t="n"/>
    </row>
    <row r="765" ht="15.75" customHeight="1">
      <c r="E765" s="4" t="n"/>
    </row>
    <row r="766" ht="15.75" customHeight="1">
      <c r="E766" s="4" t="n"/>
    </row>
    <row r="767" ht="15.75" customHeight="1">
      <c r="E767" s="4" t="n"/>
    </row>
    <row r="768" ht="15.75" customHeight="1">
      <c r="E768" s="4" t="n"/>
    </row>
    <row r="769" ht="15.75" customHeight="1">
      <c r="E769" s="4" t="n"/>
    </row>
    <row r="770" ht="15.75" customHeight="1">
      <c r="E770" s="4" t="n"/>
    </row>
    <row r="771" ht="15.75" customHeight="1">
      <c r="E771" s="4" t="n"/>
    </row>
    <row r="772" ht="15.75" customHeight="1">
      <c r="E772" s="4" t="n"/>
    </row>
    <row r="773" ht="15.75" customHeight="1">
      <c r="E773" s="4" t="n"/>
    </row>
    <row r="774" ht="15.75" customHeight="1">
      <c r="E774" s="4" t="n"/>
    </row>
    <row r="775" ht="15.75" customHeight="1">
      <c r="E775" s="4" t="n"/>
    </row>
    <row r="776" ht="15.75" customHeight="1">
      <c r="E776" s="4" t="n"/>
    </row>
    <row r="777" ht="15.75" customHeight="1">
      <c r="E777" s="4" t="n"/>
    </row>
    <row r="778" ht="15.75" customHeight="1">
      <c r="E778" s="4" t="n"/>
    </row>
    <row r="779" ht="15.75" customHeight="1">
      <c r="E779" s="4" t="n"/>
    </row>
    <row r="780" ht="15.75" customHeight="1">
      <c r="E780" s="4" t="n"/>
    </row>
    <row r="781" ht="15.75" customHeight="1">
      <c r="E781" s="4" t="n"/>
    </row>
    <row r="782" ht="15.75" customHeight="1">
      <c r="E782" s="4" t="n"/>
    </row>
    <row r="783" ht="15.75" customHeight="1">
      <c r="E783" s="4" t="n"/>
    </row>
    <row r="784" ht="15.75" customHeight="1">
      <c r="E784" s="4" t="n"/>
    </row>
    <row r="785" ht="15.75" customHeight="1">
      <c r="E785" s="4" t="n"/>
    </row>
    <row r="786" ht="15.75" customHeight="1">
      <c r="E786" s="4" t="n"/>
    </row>
    <row r="787" ht="15.75" customHeight="1">
      <c r="E787" s="4" t="n"/>
    </row>
    <row r="788" ht="15.75" customHeight="1">
      <c r="E788" s="4" t="n"/>
    </row>
    <row r="789" ht="15.75" customHeight="1">
      <c r="E789" s="4" t="n"/>
    </row>
    <row r="790" ht="15.75" customHeight="1">
      <c r="E790" s="4" t="n"/>
    </row>
    <row r="791" ht="15.75" customHeight="1">
      <c r="E791" s="4" t="n"/>
    </row>
    <row r="792" ht="15.75" customHeight="1">
      <c r="E792" s="4" t="n"/>
    </row>
    <row r="793" ht="15.75" customHeight="1">
      <c r="E793" s="4" t="n"/>
    </row>
    <row r="794" ht="15.75" customHeight="1">
      <c r="E794" s="4" t="n"/>
    </row>
    <row r="795" ht="15.75" customHeight="1">
      <c r="E795" s="4" t="n"/>
    </row>
    <row r="796" ht="15.75" customHeight="1">
      <c r="E796" s="4" t="n"/>
    </row>
    <row r="797" ht="15.75" customHeight="1">
      <c r="E797" s="4" t="n"/>
    </row>
    <row r="798" ht="15.75" customHeight="1">
      <c r="E798" s="4" t="n"/>
    </row>
    <row r="799" ht="15.75" customHeight="1">
      <c r="E799" s="4" t="n"/>
    </row>
    <row r="800" ht="15.75" customHeight="1">
      <c r="E800" s="4" t="n"/>
    </row>
    <row r="801" ht="15.75" customHeight="1">
      <c r="E801" s="4" t="n"/>
    </row>
    <row r="802" ht="15.75" customHeight="1">
      <c r="E802" s="4" t="n"/>
    </row>
    <row r="803" ht="15.75" customHeight="1">
      <c r="E803" s="4" t="n"/>
    </row>
    <row r="804" ht="15.75" customHeight="1">
      <c r="E804" s="4" t="n"/>
    </row>
    <row r="805" ht="15.75" customHeight="1">
      <c r="E805" s="4" t="n"/>
    </row>
    <row r="806" ht="15.75" customHeight="1">
      <c r="E806" s="4" t="n"/>
    </row>
    <row r="807" ht="15.75" customHeight="1">
      <c r="E807" s="4" t="n"/>
    </row>
    <row r="808" ht="15.75" customHeight="1">
      <c r="E808" s="4" t="n"/>
    </row>
    <row r="809" ht="15.75" customHeight="1">
      <c r="E809" s="4" t="n"/>
    </row>
    <row r="810" ht="15.75" customHeight="1">
      <c r="E810" s="4" t="n"/>
    </row>
    <row r="811" ht="15.75" customHeight="1">
      <c r="E811" s="4" t="n"/>
    </row>
    <row r="812" ht="15.75" customHeight="1">
      <c r="E812" s="4" t="n"/>
    </row>
    <row r="813" ht="15.75" customHeight="1">
      <c r="E813" s="4" t="n"/>
    </row>
    <row r="814" ht="15.75" customHeight="1">
      <c r="E814" s="4" t="n"/>
    </row>
    <row r="815" ht="15.75" customHeight="1">
      <c r="E815" s="4" t="n"/>
    </row>
    <row r="816" ht="15.75" customHeight="1">
      <c r="E816" s="4" t="n"/>
    </row>
    <row r="817" ht="15.75" customHeight="1">
      <c r="E817" s="4" t="n"/>
    </row>
    <row r="818" ht="15.75" customHeight="1">
      <c r="E818" s="4" t="n"/>
    </row>
    <row r="819" ht="15.75" customHeight="1">
      <c r="E819" s="4" t="n"/>
    </row>
    <row r="820" ht="15.75" customHeight="1">
      <c r="E820" s="4" t="n"/>
    </row>
    <row r="821" ht="15.75" customHeight="1">
      <c r="E821" s="4" t="n"/>
    </row>
    <row r="822" ht="15.75" customHeight="1">
      <c r="E822" s="4" t="n"/>
    </row>
    <row r="823" ht="15.75" customHeight="1">
      <c r="E823" s="4" t="n"/>
    </row>
    <row r="824" ht="15.75" customHeight="1">
      <c r="E824" s="4" t="n"/>
    </row>
    <row r="825" ht="15.75" customHeight="1">
      <c r="E825" s="4" t="n"/>
    </row>
    <row r="826" ht="15.75" customHeight="1">
      <c r="E826" s="4" t="n"/>
    </row>
    <row r="827" ht="15.75" customHeight="1">
      <c r="E827" s="4" t="n"/>
    </row>
    <row r="828" ht="15.75" customHeight="1">
      <c r="E828" s="4" t="n"/>
    </row>
    <row r="829" ht="15.75" customHeight="1">
      <c r="E829" s="4" t="n"/>
    </row>
    <row r="830" ht="15.75" customHeight="1">
      <c r="E830" s="4" t="n"/>
    </row>
    <row r="831" ht="15.75" customHeight="1">
      <c r="E831" s="4" t="n"/>
    </row>
    <row r="832" ht="15.75" customHeight="1">
      <c r="E832" s="4" t="n"/>
    </row>
    <row r="833" ht="15.75" customHeight="1">
      <c r="E833" s="4" t="n"/>
    </row>
    <row r="834" ht="15.75" customHeight="1">
      <c r="E834" s="4" t="n"/>
    </row>
    <row r="835" ht="15.75" customHeight="1">
      <c r="E835" s="4" t="n"/>
    </row>
    <row r="836" ht="15.75" customHeight="1">
      <c r="E836" s="4" t="n"/>
    </row>
    <row r="837" ht="15.75" customHeight="1">
      <c r="E837" s="4" t="n"/>
    </row>
    <row r="838" ht="15.75" customHeight="1">
      <c r="E838" s="4" t="n"/>
    </row>
    <row r="839" ht="15.75" customHeight="1">
      <c r="E839" s="4" t="n"/>
    </row>
    <row r="840" ht="15.75" customHeight="1">
      <c r="E840" s="4" t="n"/>
    </row>
    <row r="841" ht="15.75" customHeight="1">
      <c r="E841" s="4" t="n"/>
    </row>
    <row r="842" ht="15.75" customHeight="1">
      <c r="E842" s="4" t="n"/>
    </row>
    <row r="843" ht="15.75" customHeight="1">
      <c r="E843" s="4" t="n"/>
    </row>
    <row r="844" ht="15.75" customHeight="1">
      <c r="E844" s="4" t="n"/>
    </row>
    <row r="845" ht="15.75" customHeight="1">
      <c r="E845" s="4" t="n"/>
    </row>
    <row r="846" ht="15.75" customHeight="1">
      <c r="E846" s="4" t="n"/>
    </row>
    <row r="847" ht="15.75" customHeight="1">
      <c r="E847" s="4" t="n"/>
    </row>
    <row r="848" ht="15.75" customHeight="1">
      <c r="E848" s="4" t="n"/>
    </row>
    <row r="849" ht="15.75" customHeight="1">
      <c r="E849" s="4" t="n"/>
    </row>
    <row r="850" ht="15.75" customHeight="1">
      <c r="E850" s="4" t="n"/>
    </row>
    <row r="851" ht="15.75" customHeight="1">
      <c r="E851" s="4" t="n"/>
    </row>
    <row r="852" ht="15.75" customHeight="1">
      <c r="E852" s="4" t="n"/>
    </row>
    <row r="853" ht="15.75" customHeight="1">
      <c r="E853" s="4" t="n"/>
    </row>
    <row r="854" ht="15.75" customHeight="1">
      <c r="E854" s="4" t="n"/>
    </row>
    <row r="855" ht="15.75" customHeight="1">
      <c r="E855" s="4" t="n"/>
    </row>
    <row r="856" ht="15.75" customHeight="1">
      <c r="E856" s="4" t="n"/>
    </row>
    <row r="857" ht="15.75" customHeight="1">
      <c r="E857" s="4" t="n"/>
    </row>
    <row r="858" ht="15.75" customHeight="1">
      <c r="E858" s="4" t="n"/>
    </row>
    <row r="859" ht="15.75" customHeight="1">
      <c r="E859" s="4" t="n"/>
    </row>
    <row r="860" ht="15.75" customHeight="1">
      <c r="E860" s="4" t="n"/>
    </row>
    <row r="861" ht="15.75" customHeight="1">
      <c r="E861" s="4" t="n"/>
    </row>
    <row r="862" ht="15.75" customHeight="1">
      <c r="E862" s="4" t="n"/>
    </row>
    <row r="863" ht="15.75" customHeight="1">
      <c r="E863" s="4" t="n"/>
    </row>
    <row r="864" ht="15.75" customHeight="1">
      <c r="E864" s="4" t="n"/>
    </row>
    <row r="865" ht="15.75" customHeight="1">
      <c r="E865" s="4" t="n"/>
    </row>
    <row r="866" ht="15.75" customHeight="1">
      <c r="E866" s="4" t="n"/>
    </row>
    <row r="867" ht="15.75" customHeight="1">
      <c r="E867" s="4" t="n"/>
    </row>
    <row r="868" ht="15.75" customHeight="1">
      <c r="E868" s="4" t="n"/>
    </row>
    <row r="869" ht="15.75" customHeight="1">
      <c r="E869" s="4" t="n"/>
    </row>
    <row r="870" ht="15.75" customHeight="1">
      <c r="E870" s="4" t="n"/>
    </row>
    <row r="871" ht="15.75" customHeight="1">
      <c r="E871" s="4" t="n"/>
    </row>
    <row r="872" ht="15.75" customHeight="1">
      <c r="E872" s="4" t="n"/>
    </row>
    <row r="873" ht="15.75" customHeight="1">
      <c r="E873" s="4" t="n"/>
    </row>
    <row r="874" ht="15.75" customHeight="1">
      <c r="E874" s="4" t="n"/>
    </row>
    <row r="875" ht="15.75" customHeight="1">
      <c r="E875" s="4" t="n"/>
    </row>
    <row r="876" ht="15.75" customHeight="1">
      <c r="E876" s="4" t="n"/>
    </row>
    <row r="877" ht="15.75" customHeight="1">
      <c r="E877" s="4" t="n"/>
    </row>
    <row r="878" ht="15.75" customHeight="1">
      <c r="E878" s="4" t="n"/>
    </row>
    <row r="879" ht="15.75" customHeight="1">
      <c r="E879" s="4" t="n"/>
    </row>
    <row r="880" ht="15.75" customHeight="1">
      <c r="E880" s="4" t="n"/>
    </row>
    <row r="881" ht="15.75" customHeight="1">
      <c r="E881" s="4" t="n"/>
    </row>
    <row r="882" ht="15.75" customHeight="1">
      <c r="E882" s="4" t="n"/>
    </row>
    <row r="883" ht="15.75" customHeight="1">
      <c r="E883" s="4" t="n"/>
    </row>
    <row r="884" ht="15.75" customHeight="1">
      <c r="E884" s="4" t="n"/>
    </row>
    <row r="885" ht="15.75" customHeight="1">
      <c r="E885" s="4" t="n"/>
    </row>
    <row r="886" ht="15.75" customHeight="1">
      <c r="E886" s="4" t="n"/>
    </row>
    <row r="887" ht="15.75" customHeight="1">
      <c r="E887" s="4" t="n"/>
    </row>
    <row r="888" ht="15.75" customHeight="1">
      <c r="E888" s="4" t="n"/>
    </row>
    <row r="889" ht="15.75" customHeight="1">
      <c r="E889" s="4" t="n"/>
    </row>
    <row r="890" ht="15.75" customHeight="1">
      <c r="E890" s="4" t="n"/>
    </row>
    <row r="891" ht="15.75" customHeight="1">
      <c r="E891" s="4" t="n"/>
    </row>
    <row r="892" ht="15.75" customHeight="1">
      <c r="E892" s="4" t="n"/>
    </row>
    <row r="893" ht="15.75" customHeight="1">
      <c r="E893" s="4" t="n"/>
    </row>
    <row r="894" ht="15.75" customHeight="1">
      <c r="E894" s="4" t="n"/>
    </row>
    <row r="895" ht="15.75" customHeight="1">
      <c r="E895" s="4" t="n"/>
    </row>
    <row r="896" ht="15.75" customHeight="1">
      <c r="E896" s="4" t="n"/>
    </row>
    <row r="897" ht="15.75" customHeight="1">
      <c r="E897" s="4" t="n"/>
    </row>
    <row r="898" ht="15.75" customHeight="1">
      <c r="E898" s="4" t="n"/>
    </row>
    <row r="899" ht="15.75" customHeight="1">
      <c r="E899" s="4" t="n"/>
    </row>
    <row r="900" ht="15.75" customHeight="1">
      <c r="E900" s="4" t="n"/>
    </row>
    <row r="901" ht="15.75" customHeight="1">
      <c r="E901" s="4" t="n"/>
    </row>
    <row r="902" ht="15.75" customHeight="1">
      <c r="E902" s="4" t="n"/>
    </row>
    <row r="903" ht="15.75" customHeight="1">
      <c r="E903" s="4" t="n"/>
    </row>
    <row r="904" ht="15.75" customHeight="1">
      <c r="E904" s="4" t="n"/>
    </row>
    <row r="905" ht="15.75" customHeight="1">
      <c r="E905" s="4" t="n"/>
    </row>
    <row r="906" ht="15.75" customHeight="1">
      <c r="E906" s="4" t="n"/>
    </row>
    <row r="907" ht="15.75" customHeight="1">
      <c r="E907" s="4" t="n"/>
    </row>
    <row r="908" ht="15.75" customHeight="1">
      <c r="E908" s="4" t="n"/>
    </row>
    <row r="909" ht="15.75" customHeight="1">
      <c r="E909" s="4" t="n"/>
    </row>
    <row r="910" ht="15.75" customHeight="1">
      <c r="E910" s="4" t="n"/>
    </row>
    <row r="911" ht="15.75" customHeight="1">
      <c r="E911" s="4" t="n"/>
    </row>
    <row r="912" ht="15.75" customHeight="1">
      <c r="E912" s="4" t="n"/>
    </row>
    <row r="913" ht="15.75" customHeight="1">
      <c r="E913" s="4" t="n"/>
    </row>
    <row r="914" ht="15.75" customHeight="1">
      <c r="E914" s="4" t="n"/>
    </row>
    <row r="915" ht="15.75" customHeight="1">
      <c r="E915" s="4" t="n"/>
    </row>
    <row r="916" ht="15.75" customHeight="1">
      <c r="E916" s="4" t="n"/>
    </row>
    <row r="917" ht="15.75" customHeight="1">
      <c r="E917" s="4" t="n"/>
    </row>
    <row r="918" ht="15.75" customHeight="1">
      <c r="E918" s="4" t="n"/>
    </row>
    <row r="919" ht="15.75" customHeight="1">
      <c r="E919" s="4" t="n"/>
    </row>
    <row r="920" ht="15.75" customHeight="1">
      <c r="E920" s="4" t="n"/>
    </row>
    <row r="921" ht="15.75" customHeight="1">
      <c r="E921" s="4" t="n"/>
    </row>
    <row r="922" ht="15.75" customHeight="1">
      <c r="E922" s="4" t="n"/>
    </row>
    <row r="923" ht="15.75" customHeight="1">
      <c r="E923" s="4" t="n"/>
    </row>
    <row r="924" ht="15.75" customHeight="1">
      <c r="E924" s="4" t="n"/>
    </row>
    <row r="925" ht="15.75" customHeight="1">
      <c r="E925" s="4" t="n"/>
    </row>
    <row r="926" ht="15.75" customHeight="1">
      <c r="E926" s="4" t="n"/>
    </row>
    <row r="927" ht="15.75" customHeight="1">
      <c r="E927" s="4" t="n"/>
    </row>
    <row r="928" ht="15.75" customHeight="1">
      <c r="E928" s="4" t="n"/>
    </row>
    <row r="929" ht="15.75" customHeight="1">
      <c r="E929" s="4" t="n"/>
    </row>
    <row r="930" ht="15.75" customHeight="1">
      <c r="E930" s="4" t="n"/>
    </row>
    <row r="931" ht="15.75" customHeight="1">
      <c r="E931" s="4" t="n"/>
    </row>
    <row r="932" ht="15.75" customHeight="1">
      <c r="E932" s="4" t="n"/>
    </row>
    <row r="933" ht="15.75" customHeight="1">
      <c r="E933" s="4" t="n"/>
    </row>
    <row r="934" ht="15.75" customHeight="1">
      <c r="E934" s="4" t="n"/>
    </row>
    <row r="935" ht="15.75" customHeight="1">
      <c r="E935" s="4" t="n"/>
    </row>
    <row r="936" ht="15.75" customHeight="1">
      <c r="E936" s="4" t="n"/>
    </row>
    <row r="937" ht="15.75" customHeight="1">
      <c r="E937" s="4" t="n"/>
    </row>
    <row r="938" ht="15.75" customHeight="1">
      <c r="E938" s="4" t="n"/>
    </row>
    <row r="939" ht="15.75" customHeight="1">
      <c r="E939" s="4" t="n"/>
    </row>
    <row r="940" ht="15.75" customHeight="1">
      <c r="E940" s="4" t="n"/>
    </row>
    <row r="941" ht="15.75" customHeight="1">
      <c r="E941" s="4" t="n"/>
    </row>
    <row r="942" ht="15.75" customHeight="1">
      <c r="E942" s="4" t="n"/>
    </row>
    <row r="943" ht="15.75" customHeight="1">
      <c r="E943" s="4" t="n"/>
    </row>
    <row r="944" ht="15.75" customHeight="1">
      <c r="E944" s="4" t="n"/>
    </row>
    <row r="945" ht="15.75" customHeight="1">
      <c r="E945" s="4" t="n"/>
    </row>
    <row r="946" ht="15.75" customHeight="1">
      <c r="E946" s="4" t="n"/>
    </row>
    <row r="947" ht="15.75" customHeight="1">
      <c r="E947" s="4" t="n"/>
    </row>
    <row r="948" ht="15.75" customHeight="1">
      <c r="E948" s="4" t="n"/>
    </row>
    <row r="949" ht="15.75" customHeight="1">
      <c r="E949" s="4" t="n"/>
    </row>
    <row r="950" ht="15.75" customHeight="1">
      <c r="E950" s="4" t="n"/>
    </row>
    <row r="951" ht="15.75" customHeight="1">
      <c r="E951" s="4" t="n"/>
    </row>
    <row r="952" ht="15.75" customHeight="1">
      <c r="E952" s="4" t="n"/>
    </row>
    <row r="953" ht="15.75" customHeight="1">
      <c r="E953" s="4" t="n"/>
    </row>
    <row r="954" ht="15.75" customHeight="1">
      <c r="E954" s="4" t="n"/>
    </row>
    <row r="955" ht="15.75" customHeight="1">
      <c r="E955" s="4" t="n"/>
    </row>
    <row r="956" ht="15.75" customHeight="1">
      <c r="E956" s="4" t="n"/>
    </row>
    <row r="957" ht="15.75" customHeight="1">
      <c r="E957" s="4" t="n"/>
    </row>
    <row r="958" ht="15.75" customHeight="1">
      <c r="E958" s="4" t="n"/>
    </row>
    <row r="959" ht="15.75" customHeight="1">
      <c r="E959" s="4" t="n"/>
    </row>
    <row r="960" ht="15.75" customHeight="1">
      <c r="E960" s="4" t="n"/>
    </row>
    <row r="961" ht="15.75" customHeight="1">
      <c r="E961" s="4" t="n"/>
    </row>
    <row r="962" ht="15.75" customHeight="1">
      <c r="E962" s="4" t="n"/>
    </row>
    <row r="963" ht="15.75" customHeight="1">
      <c r="E963" s="4" t="n"/>
    </row>
    <row r="964" ht="15.75" customHeight="1">
      <c r="E964" s="4" t="n"/>
    </row>
    <row r="965" ht="15.75" customHeight="1">
      <c r="E965" s="4" t="n"/>
    </row>
    <row r="966" ht="15.75" customHeight="1">
      <c r="E966" s="4" t="n"/>
    </row>
    <row r="967" ht="15.75" customHeight="1">
      <c r="E967" s="4" t="n"/>
    </row>
    <row r="968" ht="15.75" customHeight="1">
      <c r="E968" s="4" t="n"/>
    </row>
    <row r="969" ht="15.75" customHeight="1">
      <c r="E969" s="4" t="n"/>
    </row>
    <row r="970" ht="15.75" customHeight="1">
      <c r="E970" s="4" t="n"/>
    </row>
    <row r="971" ht="15.75" customHeight="1">
      <c r="E971" s="4" t="n"/>
    </row>
    <row r="972" ht="15.75" customHeight="1">
      <c r="E972" s="4" t="n"/>
    </row>
    <row r="973" ht="15.75" customHeight="1">
      <c r="E973" s="4" t="n"/>
    </row>
    <row r="974" ht="15.75" customHeight="1">
      <c r="E974" s="4" t="n"/>
    </row>
    <row r="975" ht="15.75" customHeight="1">
      <c r="E975" s="4" t="n"/>
    </row>
    <row r="976" ht="15.75" customHeight="1">
      <c r="E976" s="4" t="n"/>
    </row>
    <row r="977" ht="15.75" customHeight="1">
      <c r="E977" s="4" t="n"/>
    </row>
    <row r="978" ht="15.75" customHeight="1">
      <c r="E978" s="4" t="n"/>
    </row>
    <row r="979" ht="15.75" customHeight="1">
      <c r="E979" s="4" t="n"/>
    </row>
    <row r="980" ht="15.75" customHeight="1">
      <c r="E980" s="4" t="n"/>
    </row>
    <row r="981" ht="15.75" customHeight="1">
      <c r="E981" s="4" t="n"/>
    </row>
    <row r="982" ht="15.75" customHeight="1">
      <c r="E982" s="4" t="n"/>
    </row>
    <row r="983" ht="15.75" customHeight="1">
      <c r="E983" s="4" t="n"/>
    </row>
    <row r="984" ht="15.75" customHeight="1">
      <c r="E984" s="4" t="n"/>
    </row>
    <row r="985" ht="15.75" customHeight="1">
      <c r="E985" s="4" t="n"/>
    </row>
    <row r="986" ht="15.75" customHeight="1">
      <c r="E986" s="4" t="n"/>
    </row>
    <row r="987" ht="15.75" customHeight="1">
      <c r="E987" s="4" t="n"/>
    </row>
    <row r="988" ht="15.75" customHeight="1">
      <c r="E988" s="4" t="n"/>
    </row>
    <row r="989" ht="15.75" customHeight="1">
      <c r="E989" s="4" t="n"/>
    </row>
    <row r="990" ht="15.75" customHeight="1">
      <c r="E990" s="4" t="n"/>
    </row>
    <row r="991" ht="15.75" customHeight="1">
      <c r="E991" s="4" t="n"/>
    </row>
    <row r="992" ht="15.75" customHeight="1">
      <c r="E992" s="4" t="n"/>
    </row>
    <row r="993" ht="15.75" customHeight="1">
      <c r="E993" s="4" t="n"/>
    </row>
    <row r="994" ht="15.75" customHeight="1">
      <c r="E994" s="4" t="n"/>
    </row>
    <row r="995" ht="15.75" customHeight="1">
      <c r="E995" s="4" t="n"/>
    </row>
    <row r="996" ht="15.75" customHeight="1">
      <c r="E996" s="4" t="n"/>
    </row>
    <row r="997" ht="15.75" customHeight="1">
      <c r="E997" s="4" t="n"/>
    </row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D20" sqref="D20"/>
    </sheetView>
  </sheetViews>
  <sheetFormatPr baseColWidth="8" defaultColWidth="12.6640625" defaultRowHeight="15" customHeight="1"/>
  <cols>
    <col width="3.75" customWidth="1" min="1" max="1"/>
    <col width="28" customWidth="1" min="2" max="3"/>
    <col width="17.1640625" customWidth="1" min="4" max="4"/>
    <col width="16.4140625" customWidth="1" min="5" max="5"/>
    <col width="17.6640625" customWidth="1" min="6" max="6"/>
    <col width="13" customWidth="1" min="7" max="7"/>
    <col width="14.33203125" customWidth="1" min="8" max="8"/>
    <col width="14.4140625" customWidth="1" min="9" max="28"/>
  </cols>
  <sheetData>
    <row r="1" ht="39" customHeight="1">
      <c r="B1" s="27" t="inlineStr">
        <is>
          <t>Policy Type</t>
        </is>
      </c>
      <c r="C1" s="27" t="inlineStr">
        <is>
          <t>Type</t>
        </is>
      </c>
      <c r="D1" s="27" t="inlineStr">
        <is>
          <t>Company</t>
        </is>
      </c>
      <c r="E1" s="27" t="inlineStr">
        <is>
          <t>Cover Amount</t>
        </is>
      </c>
      <c r="F1" s="27" t="inlineStr">
        <is>
          <t>Annual Premium</t>
        </is>
      </c>
      <c r="G1" s="27" t="inlineStr">
        <is>
          <t>Year of Maturity</t>
        </is>
      </c>
      <c r="H1" s="27" t="inlineStr">
        <is>
          <t>Optional Remarks /Comments</t>
        </is>
      </c>
    </row>
    <row r="2" ht="14.5" customHeight="1">
      <c r="B2" s="84" t="inlineStr">
        <is>
          <t>Term Plan</t>
        </is>
      </c>
      <c r="C2" s="84" t="inlineStr">
        <is>
          <t>Life</t>
        </is>
      </c>
      <c r="D2" s="103" t="inlineStr">
        <is>
          <t>HDFC</t>
        </is>
      </c>
      <c r="E2" s="110" t="n"/>
      <c r="F2" s="111" t="n"/>
      <c r="G2" s="73" t="n"/>
      <c r="H2" s="103" t="inlineStr">
        <is>
          <t>Age of client on maturity will be 60</t>
        </is>
      </c>
    </row>
    <row r="3" ht="14.5" customHeight="1">
      <c r="B3" s="84" t="n"/>
      <c r="C3" s="84" t="n"/>
      <c r="D3" s="73" t="n"/>
      <c r="E3" s="73" t="n"/>
      <c r="F3" s="86" t="n"/>
      <c r="G3" s="73" t="n"/>
      <c r="H3" s="73" t="n"/>
    </row>
    <row r="4" ht="14.5" customHeight="1">
      <c r="B4" s="84" t="n"/>
      <c r="C4" s="84" t="n"/>
      <c r="D4" s="103" t="n"/>
      <c r="E4" s="110" t="n"/>
      <c r="F4" s="86" t="n"/>
      <c r="G4" s="73" t="n"/>
      <c r="H4" s="112" t="n"/>
    </row>
    <row r="5" ht="14.5" customHeight="1">
      <c r="B5" s="371" t="n"/>
      <c r="C5" s="84" t="n"/>
      <c r="D5" s="103" t="n"/>
      <c r="E5" s="110" t="n"/>
      <c r="F5" s="86" t="n"/>
      <c r="G5" s="73" t="n"/>
      <c r="H5" s="372" t="n"/>
    </row>
    <row r="6" ht="15" customHeight="1">
      <c r="B6" s="73" t="n"/>
      <c r="C6" s="73" t="n"/>
      <c r="D6" s="73" t="n"/>
      <c r="E6" s="73" t="n"/>
      <c r="F6" s="73" t="n"/>
      <c r="G6" s="73" t="n"/>
      <c r="H6" s="73" t="n"/>
    </row>
    <row r="7" ht="15" customHeight="1">
      <c r="B7" s="73" t="n"/>
      <c r="C7" s="73" t="n"/>
      <c r="D7" s="73" t="n"/>
      <c r="E7" s="73" t="n"/>
      <c r="F7" s="73" t="n"/>
      <c r="G7" s="73" t="n"/>
      <c r="H7" s="73" t="n"/>
    </row>
    <row r="8" ht="15" customHeight="1">
      <c r="B8" s="73" t="n"/>
      <c r="C8" s="73" t="n"/>
      <c r="D8" s="73" t="n"/>
      <c r="E8" s="73" t="n"/>
      <c r="F8" s="73" t="n"/>
      <c r="G8" s="73" t="n"/>
      <c r="H8" s="73" t="n"/>
    </row>
    <row r="9" ht="15" customHeight="1">
      <c r="B9" s="73" t="n"/>
      <c r="C9" s="73" t="n"/>
      <c r="D9" s="73" t="n"/>
      <c r="E9" s="73" t="n"/>
      <c r="F9" s="73" t="n"/>
      <c r="G9" s="73" t="n"/>
      <c r="H9" s="73" t="n"/>
    </row>
    <row r="10" ht="15" customHeight="1">
      <c r="B10" s="74" t="n"/>
      <c r="C10" s="74" t="n"/>
      <c r="D10" s="74" t="n"/>
      <c r="E10" s="74" t="n"/>
      <c r="F10" s="74" t="n"/>
      <c r="G10" s="74" t="n"/>
      <c r="H10" s="74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109"/>
  <sheetViews>
    <sheetView showGridLines="0" workbookViewId="0">
      <selection activeCell="B3" sqref="B3"/>
    </sheetView>
  </sheetViews>
  <sheetFormatPr baseColWidth="8" defaultRowHeight="14"/>
  <cols>
    <col width="11.4140625" customWidth="1" min="1" max="1"/>
    <col width="74.75" customWidth="1" min="2" max="2"/>
    <col width="14.33203125" bestFit="1" customWidth="1" min="3" max="3"/>
    <col width="13.1640625" customWidth="1" min="4" max="5"/>
    <col width="25.4140625" customWidth="1" min="6" max="6"/>
    <col width="9.83203125" bestFit="1" customWidth="1" min="7" max="11"/>
  </cols>
  <sheetData>
    <row r="2" ht="17" customHeight="1">
      <c r="B2" s="314" t="inlineStr">
        <is>
          <t>Case 1</t>
        </is>
      </c>
    </row>
    <row r="3" ht="209" customHeight="1">
      <c r="A3" s="341" t="inlineStr">
        <is>
          <t>Scenario 1</t>
        </is>
      </c>
      <c r="B3" s="340" t="inlineStr">
        <is>
          <t xml:space="preserve">Mr. Z, aged 52 years, is working in a leading company. His net savings are Rs. 50,000 p.m. Based on salary growth and other factors, he expects this to rise by 20% p.a. till his retirement at age 60. This does not include monthly contributions of Rs. 9,000 (Rs.4000 own contribution; Rs.5000 employer contribution) to various funds towards retirement corpus. These are expected to grow by 20% p.a. till retirement. 
The retirement corpus by the end of the year will be Rs. 12 lakhs, entirely in debt, which will yield 8 % p.a. on average. Besides his own residential house and the retirement corpus, his savings and investments will amount to Rs.50 lakhs by the end of the year, 30% of which will be in equity. </t>
        </is>
      </c>
    </row>
    <row r="4" ht="15.5" customHeight="1">
      <c r="B4" s="306" t="inlineStr">
        <is>
          <t>His current expenses are Rs. 40,000 per month.</t>
        </is>
      </c>
    </row>
    <row r="5" ht="31" customHeight="1">
      <c r="A5" s="341" t="inlineStr">
        <is>
          <t>Scenario 2</t>
        </is>
      </c>
      <c r="B5" s="342" t="inlineStr">
        <is>
          <t>Assuming his wife's current Age is 48 and her life expectancy is 85, what will be the retirement corpus needed by him</t>
        </is>
      </c>
    </row>
    <row r="6" ht="15.5" customHeight="1">
      <c r="B6" s="307" t="n"/>
    </row>
    <row r="9" ht="15.5" customHeight="1">
      <c r="B9" s="339" t="inlineStr">
        <is>
          <t>1)   What is the corpus requirement to ensure that he is able to sustain the same standard of living for 15 years after retirement?</t>
        </is>
      </c>
    </row>
    <row r="10" ht="16" customHeight="1" thickBot="1">
      <c r="B10" s="315" t="inlineStr">
        <is>
          <t>Computation</t>
        </is>
      </c>
    </row>
    <row r="11" ht="29.5" customHeight="1" thickBot="1">
      <c r="B11" s="310" t="inlineStr">
        <is>
          <t>Particulars</t>
        </is>
      </c>
      <c r="C11" s="311" t="inlineStr">
        <is>
          <t>Input/Computation</t>
        </is>
      </c>
      <c r="D11" s="311" t="inlineStr">
        <is>
          <t>Metric</t>
        </is>
      </c>
      <c r="E11" s="311" t="inlineStr">
        <is>
          <t>Amount (Rs.)</t>
        </is>
      </c>
      <c r="F11" s="311" t="inlineStr">
        <is>
          <t>Calculation</t>
        </is>
      </c>
    </row>
    <row r="12" ht="15" customHeight="1" thickBot="1">
      <c r="B12" s="317" t="inlineStr">
        <is>
          <t>Current Age</t>
        </is>
      </c>
      <c r="C12" s="335" t="inlineStr">
        <is>
          <t>Input</t>
        </is>
      </c>
      <c r="D12" s="335" t="inlineStr">
        <is>
          <t>Years</t>
        </is>
      </c>
      <c r="E12" s="335" t="n">
        <v>52</v>
      </c>
      <c r="F12" s="335" t="n"/>
    </row>
    <row r="13" ht="15" customHeight="1" thickBot="1">
      <c r="B13" s="317" t="inlineStr">
        <is>
          <t>Retirement Age</t>
        </is>
      </c>
      <c r="C13" s="335" t="inlineStr">
        <is>
          <t>Input</t>
        </is>
      </c>
      <c r="D13" s="335" t="inlineStr">
        <is>
          <t>Years</t>
        </is>
      </c>
      <c r="E13" s="335" t="n">
        <v>60</v>
      </c>
      <c r="F13" s="335" t="n"/>
    </row>
    <row r="14" ht="16" customHeight="1" thickBot="1">
      <c r="B14" s="313" t="inlineStr">
        <is>
          <t>Time to Retire</t>
        </is>
      </c>
      <c r="C14" s="146" t="inlineStr">
        <is>
          <t>Computation</t>
        </is>
      </c>
      <c r="D14" s="335" t="inlineStr">
        <is>
          <t>Years</t>
        </is>
      </c>
      <c r="E14" s="335">
        <f>E13-E12</f>
        <v/>
      </c>
      <c r="F14" s="335" t="n"/>
    </row>
    <row r="15" ht="15" customHeight="1" thickBot="1">
      <c r="B15" s="317" t="n"/>
      <c r="C15" s="335" t="n"/>
      <c r="D15" s="335" t="n"/>
      <c r="E15" s="335" t="n"/>
      <c r="F15" s="335" t="n"/>
    </row>
    <row r="16" ht="15" customHeight="1" thickBot="1">
      <c r="B16" s="317" t="inlineStr">
        <is>
          <t>Life Expectancy</t>
        </is>
      </c>
      <c r="C16" s="335" t="inlineStr">
        <is>
          <t>Input</t>
        </is>
      </c>
      <c r="D16" s="335" t="inlineStr">
        <is>
          <t>Years</t>
        </is>
      </c>
      <c r="E16" s="335" t="n">
        <v>75</v>
      </c>
      <c r="F16" s="335" t="n"/>
    </row>
    <row r="17" ht="16" customHeight="1" thickBot="1">
      <c r="B17" s="313" t="inlineStr">
        <is>
          <t xml:space="preserve">No. of Years Post Retirement </t>
        </is>
      </c>
      <c r="C17" s="146" t="inlineStr">
        <is>
          <t>Computation</t>
        </is>
      </c>
      <c r="D17" s="335" t="inlineStr">
        <is>
          <t>Years</t>
        </is>
      </c>
      <c r="E17" s="335">
        <f>E16-E13</f>
        <v/>
      </c>
      <c r="F17" s="335" t="n"/>
    </row>
    <row r="18" ht="15" customHeight="1" thickBot="1">
      <c r="B18" s="317" t="n"/>
      <c r="C18" s="335" t="n"/>
      <c r="D18" s="335" t="n"/>
      <c r="E18" s="335" t="n"/>
      <c r="F18" s="335" t="n"/>
    </row>
    <row r="19" ht="29.5" customHeight="1" thickBot="1">
      <c r="B19" s="309" t="inlineStr">
        <is>
          <t>Annual Living expenses (at current age)</t>
        </is>
      </c>
      <c r="C19" s="312" t="inlineStr">
        <is>
          <t>Input</t>
        </is>
      </c>
      <c r="D19" s="312" t="inlineStr">
        <is>
          <t>INR</t>
        </is>
      </c>
      <c r="E19" s="328" t="n">
        <v>480000</v>
      </c>
      <c r="F19" s="312" t="inlineStr">
        <is>
          <t>Expenses @ Rs.40,000 per month</t>
        </is>
      </c>
    </row>
    <row r="20" ht="15" customHeight="1" thickBot="1">
      <c r="B20" s="309" t="inlineStr">
        <is>
          <t>Current Inflation (given)</t>
        </is>
      </c>
      <c r="C20" s="312" t="inlineStr">
        <is>
          <t>Asssumed</t>
        </is>
      </c>
      <c r="D20" s="312" t="inlineStr">
        <is>
          <t>%</t>
        </is>
      </c>
      <c r="E20" s="323">
        <f>'Assumptions &amp; Computation'!D3</f>
        <v/>
      </c>
      <c r="F20" s="322" t="n"/>
    </row>
    <row r="21" ht="16" customHeight="1" thickBot="1">
      <c r="B21" s="309" t="inlineStr">
        <is>
          <t>Living expense (at retirement)</t>
        </is>
      </c>
      <c r="C21" s="146" t="inlineStr">
        <is>
          <t>Computation</t>
        </is>
      </c>
      <c r="D21" s="312" t="inlineStr">
        <is>
          <t>INR</t>
        </is>
      </c>
      <c r="E21" s="329">
        <f>FV(E20,E14,,-480000)</f>
        <v/>
      </c>
      <c r="F21" s="505" t="n"/>
    </row>
    <row r="22" ht="15" customHeight="1" thickBot="1">
      <c r="B22" s="309" t="n"/>
      <c r="C22" s="312" t="n"/>
      <c r="D22" s="312" t="n"/>
      <c r="E22" s="329" t="n"/>
      <c r="F22" s="505" t="n"/>
    </row>
    <row r="23" ht="15" customHeight="1" thickBot="1">
      <c r="B23" s="309" t="inlineStr">
        <is>
          <t>Expected return on investment</t>
        </is>
      </c>
      <c r="C23" s="312" t="inlineStr">
        <is>
          <t>Asssumed</t>
        </is>
      </c>
      <c r="D23" s="312" t="inlineStr">
        <is>
          <t>%</t>
        </is>
      </c>
      <c r="E23" s="506">
        <f>'Assumptions &amp; Computation'!E22</f>
        <v/>
      </c>
      <c r="F23" s="326" t="n"/>
    </row>
    <row r="24" ht="15" customHeight="1" thickBot="1">
      <c r="B24" s="309" t="inlineStr">
        <is>
          <t xml:space="preserve">Expected Inflation post retirement </t>
        </is>
      </c>
      <c r="C24" s="312" t="inlineStr">
        <is>
          <t>Asssumed</t>
        </is>
      </c>
      <c r="D24" s="312" t="inlineStr">
        <is>
          <t>%</t>
        </is>
      </c>
      <c r="E24" s="506">
        <f>'Assumptions &amp; Computation'!D3</f>
        <v/>
      </c>
      <c r="F24" s="322" t="n"/>
    </row>
    <row r="25" ht="15" customHeight="1" thickBot="1">
      <c r="B25" s="309" t="inlineStr">
        <is>
          <t>Inflation adjusted return (During Retirement years)</t>
        </is>
      </c>
      <c r="C25" s="312" t="inlineStr">
        <is>
          <t>Asssumed</t>
        </is>
      </c>
      <c r="D25" s="312" t="inlineStr">
        <is>
          <t>%</t>
        </is>
      </c>
      <c r="E25" s="506">
        <f>((1+E23)/(1+E24))-1</f>
        <v/>
      </c>
      <c r="F25" s="334" t="n"/>
    </row>
    <row r="26" ht="73" customHeight="1" thickBot="1">
      <c r="B26" s="332" t="inlineStr">
        <is>
          <t>Retirement corpus required</t>
        </is>
      </c>
      <c r="C26" s="336" t="n"/>
      <c r="D26" s="336" t="n"/>
      <c r="E26" s="333">
        <f>PV(E25,E17,-E21,0,1)</f>
        <v/>
      </c>
      <c r="F26" s="312" t="inlineStr">
        <is>
          <t>1 denotes payment at the beginning of the period - as money need to be generated at the beginning of period for spend</t>
        </is>
      </c>
    </row>
    <row r="28">
      <c r="C28" s="486" t="n"/>
    </row>
    <row r="29" ht="16" customHeight="1" thickBot="1">
      <c r="B29" s="338" t="inlineStr">
        <is>
          <t xml:space="preserve">2.      Total Retirement Corpus Calculation (Based on current investment pattern) </t>
        </is>
      </c>
    </row>
    <row r="30" ht="14.5" customHeight="1">
      <c r="B30" s="316" t="inlineStr">
        <is>
          <t>Years to</t>
        </is>
      </c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</row>
    <row r="31" ht="15" customHeight="1" thickBot="1">
      <c r="B31" s="317" t="inlineStr">
        <is>
          <t>Retirement</t>
        </is>
      </c>
      <c r="C31" s="319" t="n">
        <v>8</v>
      </c>
      <c r="D31" s="319" t="n">
        <v>7</v>
      </c>
      <c r="E31" s="319" t="n">
        <v>6</v>
      </c>
      <c r="F31" s="319" t="n">
        <v>5</v>
      </c>
      <c r="G31" s="319" t="n">
        <v>4</v>
      </c>
      <c r="H31" s="319" t="n">
        <v>3</v>
      </c>
      <c r="I31" s="319" t="n">
        <v>2</v>
      </c>
      <c r="J31" s="319" t="n">
        <v>1</v>
      </c>
      <c r="K31" s="319" t="n">
        <v>0</v>
      </c>
    </row>
    <row r="32" ht="15" customHeight="1" thickBot="1">
      <c r="B32" s="309" t="inlineStr">
        <is>
          <t>Age of Mr. Z</t>
        </is>
      </c>
      <c r="C32" s="320" t="n">
        <v>52</v>
      </c>
      <c r="D32" s="320" t="n">
        <v>53</v>
      </c>
      <c r="E32" s="320" t="n">
        <v>54</v>
      </c>
      <c r="F32" s="320" t="n">
        <v>55</v>
      </c>
      <c r="G32" s="320" t="n">
        <v>56</v>
      </c>
      <c r="H32" s="320" t="n">
        <v>57</v>
      </c>
      <c r="I32" s="320" t="n">
        <v>58</v>
      </c>
      <c r="J32" s="320" t="n">
        <v>59</v>
      </c>
      <c r="K32" s="320" t="n">
        <v>60</v>
      </c>
    </row>
    <row r="33" ht="15" customHeight="1" thickBot="1">
      <c r="B33" s="308" t="inlineStr">
        <is>
          <t>Annual Retirement Contribution</t>
        </is>
      </c>
      <c r="C33" s="321" t="n"/>
      <c r="D33" s="321">
        <f>9000*12*1.2</f>
        <v/>
      </c>
      <c r="E33" s="321">
        <f>D33*1.2</f>
        <v/>
      </c>
      <c r="F33" s="321">
        <f>E33*1.2</f>
        <v/>
      </c>
      <c r="G33" s="321">
        <f>F33*1.2</f>
        <v/>
      </c>
      <c r="H33" s="321">
        <f>G33*1.2</f>
        <v/>
      </c>
      <c r="I33" s="321">
        <f>H33*1.2</f>
        <v/>
      </c>
      <c r="J33" s="321">
        <f>I33*1.2</f>
        <v/>
      </c>
      <c r="K33" s="321">
        <f>J33*1.2</f>
        <v/>
      </c>
    </row>
    <row r="34" ht="14.5" customHeight="1">
      <c r="B34" s="308" t="inlineStr">
        <is>
          <t xml:space="preserve">Corpus (at age 52) </t>
        </is>
      </c>
      <c r="C34" s="321" t="n">
        <v>1200000</v>
      </c>
      <c r="D34" s="325" t="n"/>
      <c r="E34" s="325" t="n"/>
      <c r="F34" s="325" t="n"/>
      <c r="G34" s="325" t="n"/>
      <c r="H34" s="325" t="n"/>
      <c r="I34" s="325" t="n"/>
      <c r="J34" s="325" t="n"/>
      <c r="K34" s="325" t="n"/>
    </row>
    <row r="35" ht="15" customHeight="1" thickBot="1">
      <c r="B35" s="309" t="inlineStr">
        <is>
          <t>Rate p.a.</t>
        </is>
      </c>
      <c r="C35" s="323" t="n">
        <v>0.08</v>
      </c>
      <c r="D35" s="322" t="n"/>
      <c r="E35" s="322" t="n"/>
      <c r="F35" s="322" t="n"/>
      <c r="G35" s="322" t="n"/>
      <c r="H35" s="322" t="n"/>
      <c r="I35" s="322" t="n"/>
      <c r="J35" s="322" t="n"/>
      <c r="K35" s="322" t="n"/>
    </row>
    <row r="36" ht="15" customHeight="1" thickBot="1">
      <c r="B36" s="308" t="inlineStr">
        <is>
          <t>Future Value at age 60</t>
        </is>
      </c>
      <c r="C36" s="526">
        <f>FV($C$35,C31,,-C34)</f>
        <v/>
      </c>
      <c r="D36" s="526">
        <f>FV($C$35,D31,,-D33)</f>
        <v/>
      </c>
      <c r="E36" s="526">
        <f>FV($C$35,E31,,-E33)</f>
        <v/>
      </c>
      <c r="F36" s="526">
        <f>FV($C$35,F31,,-F33)</f>
        <v/>
      </c>
      <c r="G36" s="526">
        <f>FV($C$35,G31,,-G33)</f>
        <v/>
      </c>
      <c r="H36" s="526">
        <f>FV($C$35,H31,,-H33)</f>
        <v/>
      </c>
      <c r="I36" s="526">
        <f>FV($C$35,I31,,-I33)</f>
        <v/>
      </c>
      <c r="J36" s="526">
        <f>FV($C$35,J31,,-J33)</f>
        <v/>
      </c>
      <c r="K36" s="526">
        <f>FV($C$35,K31,,-K33)</f>
        <v/>
      </c>
    </row>
    <row r="37" ht="15" customHeight="1" thickBot="1">
      <c r="B37" s="527" t="inlineStr">
        <is>
          <t>Total Corpus at Retirement (Summation of all future values)</t>
        </is>
      </c>
      <c r="C37" s="528" t="n"/>
      <c r="D37" s="528" t="n"/>
      <c r="E37" s="528" t="n"/>
      <c r="F37" s="528" t="n"/>
      <c r="G37" s="528" t="n"/>
      <c r="H37" s="528" t="n"/>
      <c r="I37" s="529" t="n"/>
      <c r="J37" s="530">
        <f>SUM(C36:K36)</f>
        <v/>
      </c>
      <c r="K37" s="529" t="n"/>
    </row>
    <row r="38" ht="15.5" customHeight="1">
      <c r="B38" s="324" t="inlineStr">
        <is>
          <t>@[Rs. 9000 p.m. with Growth @ 20% p.a.]</t>
        </is>
      </c>
    </row>
    <row r="39" ht="15.5" customHeight="1">
      <c r="B39" s="324" t="inlineStr">
        <is>
          <t>*[=FV(8%,Year to Retirement,,-Contribution towards retirement corpus)]</t>
        </is>
      </c>
    </row>
    <row r="41">
      <c r="B41" s="296" t="inlineStr">
        <is>
          <t>Computation of additional investments to be done to meet shortfall of Corpus</t>
        </is>
      </c>
    </row>
    <row r="42" ht="15.5" customHeight="1">
      <c r="B42" s="315" t="inlineStr">
        <is>
          <t xml:space="preserve">3. In this case Corpus needed for retirement </t>
        </is>
      </c>
      <c r="C42" s="150">
        <f>E26</f>
        <v/>
      </c>
    </row>
    <row r="43">
      <c r="B43" s="22" t="inlineStr">
        <is>
          <t>Projected Corpus based on his current investments plan</t>
        </is>
      </c>
      <c r="C43" s="152">
        <f>J37</f>
        <v/>
      </c>
    </row>
    <row r="44">
      <c r="B44" s="22" t="inlineStr">
        <is>
          <t>Shortfall in corpus</t>
        </is>
      </c>
      <c r="C44" s="150">
        <f>C42-C43</f>
        <v/>
      </c>
    </row>
    <row r="46">
      <c r="B46" s="22" t="inlineStr">
        <is>
          <t>Years to retire</t>
        </is>
      </c>
      <c r="C46">
        <f>E14</f>
        <v/>
      </c>
    </row>
    <row r="47" ht="14.5" customHeight="1">
      <c r="B47" s="337" t="inlineStr">
        <is>
          <t>Expected return on investment (Post Tax)</t>
        </is>
      </c>
      <c r="C47" s="97">
        <f>'Assumptions &amp; Computation'!E22</f>
        <v/>
      </c>
    </row>
    <row r="48">
      <c r="B48" s="22" t="inlineStr">
        <is>
          <t>Additional monthly investments to be done</t>
        </is>
      </c>
      <c r="C48" s="486">
        <f>PMT(C47/12,C46*12,0,-C44)</f>
        <v/>
      </c>
    </row>
    <row r="52" ht="31" customHeight="1">
      <c r="A52" s="383" t="inlineStr">
        <is>
          <t>Scenario 2</t>
        </is>
      </c>
      <c r="B52" s="342" t="inlineStr">
        <is>
          <t>Assuming his wife's current Age is 48 and her life expectancy is 85, what will be the retirement corpus needed by him</t>
        </is>
      </c>
    </row>
    <row r="53" ht="15.5" customHeight="1">
      <c r="A53" s="22" t="n"/>
      <c r="B53" s="306" t="n"/>
    </row>
    <row r="54" ht="15.5" customHeight="1">
      <c r="B54" s="344" t="inlineStr">
        <is>
          <t>1)   What is the corpus requirement to ensure that he is able to sustain the same standard of living for 15 years after retirement?</t>
        </is>
      </c>
    </row>
    <row r="55" ht="16" customHeight="1" thickBot="1">
      <c r="B55" s="315" t="inlineStr">
        <is>
          <t>Computation</t>
        </is>
      </c>
    </row>
    <row r="56" ht="29.5" customHeight="1" thickBot="1">
      <c r="B56" s="310" t="inlineStr">
        <is>
          <t>Particulars</t>
        </is>
      </c>
      <c r="C56" s="311" t="inlineStr">
        <is>
          <t>Input/Computation</t>
        </is>
      </c>
      <c r="D56" s="311" t="inlineStr">
        <is>
          <t>Metric</t>
        </is>
      </c>
      <c r="E56" s="311" t="inlineStr">
        <is>
          <t>Amount (Rs.)</t>
        </is>
      </c>
      <c r="F56" s="311" t="inlineStr">
        <is>
          <t>Calculation</t>
        </is>
      </c>
    </row>
    <row r="57" ht="15" customHeight="1" thickBot="1">
      <c r="B57" s="317" t="inlineStr">
        <is>
          <t xml:space="preserve">Current Age of Mr Z </t>
        </is>
      </c>
      <c r="C57" s="335" t="inlineStr">
        <is>
          <t>Input</t>
        </is>
      </c>
      <c r="D57" s="335" t="inlineStr">
        <is>
          <t>Years</t>
        </is>
      </c>
      <c r="E57" s="335" t="n">
        <v>52</v>
      </c>
      <c r="F57" s="335" t="n"/>
    </row>
    <row r="58" ht="15" customHeight="1" thickBot="1">
      <c r="B58" s="317" t="inlineStr">
        <is>
          <t>Retirement Age</t>
        </is>
      </c>
      <c r="C58" s="335" t="inlineStr">
        <is>
          <t>Input</t>
        </is>
      </c>
      <c r="D58" s="335" t="inlineStr">
        <is>
          <t>Years</t>
        </is>
      </c>
      <c r="E58" s="335" t="n">
        <v>60</v>
      </c>
      <c r="F58" s="335" t="n"/>
    </row>
    <row r="59" ht="15" customHeight="1" thickBot="1">
      <c r="B59" s="317" t="inlineStr">
        <is>
          <t>Current Age of Mrs Z (Housewife)</t>
        </is>
      </c>
      <c r="C59" s="335" t="inlineStr">
        <is>
          <t>Input</t>
        </is>
      </c>
      <c r="D59" s="335" t="inlineStr">
        <is>
          <t>Years</t>
        </is>
      </c>
      <c r="E59" s="335" t="n">
        <v>48</v>
      </c>
      <c r="F59" s="335" t="n"/>
    </row>
    <row r="60" ht="16" customHeight="1" thickBot="1">
      <c r="B60" s="313" t="inlineStr">
        <is>
          <t>Time to Retire</t>
        </is>
      </c>
      <c r="C60" s="146" t="inlineStr">
        <is>
          <t>Computation</t>
        </is>
      </c>
      <c r="D60" s="335" t="inlineStr">
        <is>
          <t>Years</t>
        </is>
      </c>
      <c r="E60" s="335">
        <f>E58-E57</f>
        <v/>
      </c>
      <c r="F60" s="335" t="n"/>
    </row>
    <row r="61" ht="15" customHeight="1" thickBot="1">
      <c r="B61" s="317" t="n"/>
      <c r="C61" s="335" t="n"/>
      <c r="D61" s="335" t="n"/>
      <c r="E61" s="335" t="n"/>
      <c r="F61" s="335" t="n"/>
    </row>
    <row r="62" ht="15" customHeight="1" thickBot="1">
      <c r="B62" s="317" t="inlineStr">
        <is>
          <t>Life Expectancy of Mr Z</t>
        </is>
      </c>
      <c r="C62" s="335" t="inlineStr">
        <is>
          <t>Input</t>
        </is>
      </c>
      <c r="D62" s="335" t="inlineStr">
        <is>
          <t>Years</t>
        </is>
      </c>
      <c r="E62" s="335" t="n">
        <v>75</v>
      </c>
      <c r="F62" s="335" t="n"/>
    </row>
    <row r="63" ht="15" customHeight="1" thickBot="1">
      <c r="B63" s="317" t="inlineStr">
        <is>
          <t>Life Expectancy of Mrs. Z</t>
        </is>
      </c>
      <c r="C63" s="335" t="inlineStr">
        <is>
          <t>Input</t>
        </is>
      </c>
      <c r="D63" s="335" t="inlineStr">
        <is>
          <t>Years</t>
        </is>
      </c>
      <c r="E63" s="335" t="n">
        <v>85</v>
      </c>
      <c r="F63" s="343" t="n"/>
    </row>
    <row r="64" ht="16" customHeight="1" thickBot="1">
      <c r="B64" s="343" t="inlineStr">
        <is>
          <t>Age of Mrs Z at the time of retirement of Mr z</t>
        </is>
      </c>
      <c r="C64" s="47" t="inlineStr">
        <is>
          <t>Computation</t>
        </is>
      </c>
      <c r="D64" s="335" t="inlineStr">
        <is>
          <t>Years</t>
        </is>
      </c>
      <c r="E64" s="335">
        <f>E58-(E57-E59)</f>
        <v/>
      </c>
      <c r="F64" s="343" t="n"/>
    </row>
    <row r="65" ht="15.5" customHeight="1">
      <c r="B65" s="47" t="inlineStr">
        <is>
          <t>No. of Years to be served Post Retirement of Mr z</t>
        </is>
      </c>
      <c r="C65" s="47" t="inlineStr">
        <is>
          <t>Computation</t>
        </is>
      </c>
      <c r="D65" s="343" t="inlineStr">
        <is>
          <t>Years</t>
        </is>
      </c>
      <c r="E65" s="384">
        <f>E63-E64</f>
        <v/>
      </c>
      <c r="F65" s="343" t="n"/>
    </row>
    <row r="66" ht="15" customHeight="1" thickBot="1">
      <c r="B66" s="317" t="n"/>
      <c r="C66" s="335" t="n"/>
      <c r="D66" s="335" t="n"/>
      <c r="E66" s="335" t="n"/>
      <c r="F66" s="335" t="n"/>
    </row>
    <row r="67" ht="29.5" customHeight="1" thickBot="1">
      <c r="B67" s="309" t="inlineStr">
        <is>
          <t>Annual Living expenses (at current age)</t>
        </is>
      </c>
      <c r="C67" s="312" t="inlineStr">
        <is>
          <t>Input</t>
        </is>
      </c>
      <c r="D67" s="312" t="inlineStr">
        <is>
          <t>INR</t>
        </is>
      </c>
      <c r="E67" s="328" t="n">
        <v>480000</v>
      </c>
      <c r="F67" s="312" t="inlineStr">
        <is>
          <t>Expenses @ Rs.40,000 per month</t>
        </is>
      </c>
    </row>
    <row r="68" ht="15" customHeight="1" thickBot="1">
      <c r="B68" s="309" t="inlineStr">
        <is>
          <t>Current Inflation (given)</t>
        </is>
      </c>
      <c r="C68" s="312" t="inlineStr">
        <is>
          <t>Asssumed</t>
        </is>
      </c>
      <c r="D68" s="312" t="inlineStr">
        <is>
          <t>%</t>
        </is>
      </c>
      <c r="E68" s="323" t="n">
        <v>0.1</v>
      </c>
      <c r="F68" s="322" t="n"/>
    </row>
    <row r="69" ht="16" customHeight="1" thickBot="1">
      <c r="B69" s="309" t="inlineStr">
        <is>
          <t>Living expense (at retirement of Mr z.)</t>
        </is>
      </c>
      <c r="C69" s="146" t="inlineStr">
        <is>
          <t>Computation</t>
        </is>
      </c>
      <c r="D69" s="312" t="inlineStr">
        <is>
          <t>INR</t>
        </is>
      </c>
      <c r="E69" s="329">
        <f>FV(E68,8,,-480000)</f>
        <v/>
      </c>
      <c r="F69" s="505" t="n"/>
    </row>
    <row r="70" ht="15" customHeight="1" thickBot="1">
      <c r="B70" s="309" t="n"/>
      <c r="C70" s="312" t="n"/>
      <c r="D70" s="312" t="n"/>
      <c r="E70" s="329" t="n"/>
      <c r="F70" s="505" t="n"/>
    </row>
    <row r="71" ht="15" customHeight="1" thickBot="1">
      <c r="B71" s="309" t="inlineStr">
        <is>
          <t>Expected return on investment</t>
        </is>
      </c>
      <c r="C71" s="312" t="inlineStr">
        <is>
          <t>Asssumed</t>
        </is>
      </c>
      <c r="D71" s="312" t="inlineStr">
        <is>
          <t>%</t>
        </is>
      </c>
      <c r="E71" s="323" t="n">
        <v>0.11</v>
      </c>
      <c r="F71" s="326" t="n"/>
    </row>
    <row r="72" ht="15" customHeight="1" thickBot="1">
      <c r="B72" s="309" t="inlineStr">
        <is>
          <t xml:space="preserve">Expected Inflation post retirement </t>
        </is>
      </c>
      <c r="C72" s="312" t="inlineStr">
        <is>
          <t>Asssumed</t>
        </is>
      </c>
      <c r="D72" s="312" t="inlineStr">
        <is>
          <t>%</t>
        </is>
      </c>
      <c r="E72" s="323" t="n">
        <v>0.1</v>
      </c>
      <c r="F72" s="322" t="n"/>
    </row>
    <row r="73" ht="15" customHeight="1" thickBot="1">
      <c r="B73" s="309" t="inlineStr">
        <is>
          <t>Inflation adjusted return (During Retirement years)</t>
        </is>
      </c>
      <c r="C73" s="312" t="inlineStr">
        <is>
          <t>Asssumed</t>
        </is>
      </c>
      <c r="D73" s="312" t="inlineStr">
        <is>
          <t>%</t>
        </is>
      </c>
      <c r="E73" s="331">
        <f>((1+E71)/(1+E72))-1</f>
        <v/>
      </c>
      <c r="F73" s="334" t="n"/>
    </row>
    <row r="74" ht="73" customHeight="1" thickBot="1">
      <c r="B74" s="332" t="inlineStr">
        <is>
          <t>Retirement corpus required</t>
        </is>
      </c>
      <c r="C74" s="336" t="n"/>
      <c r="D74" s="336" t="n"/>
      <c r="E74" s="333">
        <f>PV(E73,E65,-E69,0,1)</f>
        <v/>
      </c>
      <c r="F74" s="312" t="inlineStr">
        <is>
          <t>1 denotes payment at the beginning of the period - as money need to be generated at the beginning of period for spend</t>
        </is>
      </c>
    </row>
    <row r="75" ht="15.5" customHeight="1">
      <c r="A75" s="22" t="n"/>
      <c r="B75" s="306" t="n"/>
    </row>
    <row r="76" ht="15.5" customHeight="1">
      <c r="A76" s="22" t="n"/>
      <c r="B76" s="306" t="n"/>
    </row>
    <row r="77" ht="16" customHeight="1" thickBot="1">
      <c r="B77" s="345" t="inlineStr">
        <is>
          <t xml:space="preserve">2.      Total Retirement Corpus Calculation (Based on current investment pattern) </t>
        </is>
      </c>
    </row>
    <row r="78" ht="14.5" customHeight="1">
      <c r="B78" s="316" t="inlineStr">
        <is>
          <t>Years to</t>
        </is>
      </c>
      <c r="C78" s="318" t="n"/>
      <c r="D78" s="318" t="n"/>
      <c r="E78" s="318" t="n"/>
      <c r="F78" s="318" t="n"/>
      <c r="G78" s="318" t="n"/>
      <c r="H78" s="318" t="n"/>
      <c r="I78" s="318" t="n"/>
      <c r="J78" s="318" t="n"/>
      <c r="K78" s="318" t="n"/>
    </row>
    <row r="79" ht="15" customHeight="1" thickBot="1">
      <c r="B79" s="317" t="inlineStr">
        <is>
          <t>Retirement</t>
        </is>
      </c>
      <c r="C79" s="319" t="n">
        <v>8</v>
      </c>
      <c r="D79" s="319" t="n">
        <v>7</v>
      </c>
      <c r="E79" s="319" t="n">
        <v>6</v>
      </c>
      <c r="F79" s="319" t="n">
        <v>5</v>
      </c>
      <c r="G79" s="319" t="n">
        <v>4</v>
      </c>
      <c r="H79" s="319" t="n">
        <v>3</v>
      </c>
      <c r="I79" s="319" t="n">
        <v>2</v>
      </c>
      <c r="J79" s="319" t="n">
        <v>1</v>
      </c>
      <c r="K79" s="319" t="n">
        <v>0</v>
      </c>
    </row>
    <row r="80" ht="15" customHeight="1" thickBot="1">
      <c r="B80" s="309" t="inlineStr">
        <is>
          <t>Age of Mr. Z</t>
        </is>
      </c>
      <c r="C80" s="320" t="n">
        <v>52</v>
      </c>
      <c r="D80" s="320" t="n">
        <v>53</v>
      </c>
      <c r="E80" s="320" t="n">
        <v>54</v>
      </c>
      <c r="F80" s="320" t="n">
        <v>55</v>
      </c>
      <c r="G80" s="320" t="n">
        <v>56</v>
      </c>
      <c r="H80" s="320" t="n">
        <v>57</v>
      </c>
      <c r="I80" s="320" t="n">
        <v>58</v>
      </c>
      <c r="J80" s="320" t="n">
        <v>59</v>
      </c>
      <c r="K80" s="320" t="n">
        <v>60</v>
      </c>
    </row>
    <row r="81" ht="15" customHeight="1" thickBot="1">
      <c r="B81" s="308" t="inlineStr">
        <is>
          <t>Annual Retirement Contribution</t>
        </is>
      </c>
      <c r="C81" s="321" t="n"/>
      <c r="D81" s="321">
        <f>9000*12*1.2</f>
        <v/>
      </c>
      <c r="E81" s="321">
        <f>D81*1.2</f>
        <v/>
      </c>
      <c r="F81" s="321">
        <f>E81*1.2</f>
        <v/>
      </c>
      <c r="G81" s="321">
        <f>F81*1.2</f>
        <v/>
      </c>
      <c r="H81" s="321">
        <f>G81*1.2</f>
        <v/>
      </c>
      <c r="I81" s="321">
        <f>H81*1.2</f>
        <v/>
      </c>
      <c r="J81" s="321">
        <f>I81*1.2</f>
        <v/>
      </c>
      <c r="K81" s="321">
        <f>J81*1.2</f>
        <v/>
      </c>
    </row>
    <row r="82" ht="14.5" customHeight="1">
      <c r="B82" s="308" t="inlineStr">
        <is>
          <t xml:space="preserve">Corpus (at age 52) </t>
        </is>
      </c>
      <c r="C82" s="321" t="n">
        <v>1200000</v>
      </c>
      <c r="D82" s="325" t="n"/>
      <c r="E82" s="325" t="n"/>
      <c r="F82" s="325" t="n"/>
      <c r="G82" s="325" t="n"/>
      <c r="H82" s="325" t="n"/>
      <c r="I82" s="325" t="n"/>
      <c r="J82" s="325" t="n"/>
      <c r="K82" s="325" t="n"/>
    </row>
    <row r="83" ht="15" customHeight="1" thickBot="1">
      <c r="B83" s="309" t="inlineStr">
        <is>
          <t>Rate p.a.</t>
        </is>
      </c>
      <c r="C83" s="323" t="n">
        <v>0.08</v>
      </c>
      <c r="D83" s="322" t="n"/>
      <c r="E83" s="322" t="n"/>
      <c r="F83" s="322" t="n"/>
      <c r="G83" s="322" t="n"/>
      <c r="H83" s="322" t="n"/>
      <c r="I83" s="322" t="n"/>
      <c r="J83" s="322" t="n"/>
      <c r="K83" s="322" t="n"/>
    </row>
    <row r="84" ht="15" customHeight="1" thickBot="1">
      <c r="B84" s="308" t="inlineStr">
        <is>
          <t>Future Value at age 60</t>
        </is>
      </c>
      <c r="C84" s="526">
        <f>FV($C$35,C79,,-C82)</f>
        <v/>
      </c>
      <c r="D84" s="526">
        <f>FV($C$35,D79,,-D81)</f>
        <v/>
      </c>
      <c r="E84" s="526">
        <f>FV($C$35,E79,,-E81)</f>
        <v/>
      </c>
      <c r="F84" s="526">
        <f>FV($C$35,F79,,-F81)</f>
        <v/>
      </c>
      <c r="G84" s="526">
        <f>FV($C$35,G79,,-G81)</f>
        <v/>
      </c>
      <c r="H84" s="526">
        <f>FV($C$35,H79,,-H81)</f>
        <v/>
      </c>
      <c r="I84" s="526">
        <f>FV($C$35,I79,,-I81)</f>
        <v/>
      </c>
      <c r="J84" s="526">
        <f>FV($C$35,J79,,-J81)</f>
        <v/>
      </c>
      <c r="K84" s="526">
        <f>FV($C$35,K79,,-K81)</f>
        <v/>
      </c>
    </row>
    <row r="85" ht="15" customHeight="1" thickBot="1">
      <c r="B85" s="527" t="inlineStr">
        <is>
          <t>Total Corpus at Retirement (Summation of all future values)</t>
        </is>
      </c>
      <c r="C85" s="528" t="n"/>
      <c r="D85" s="528" t="n"/>
      <c r="E85" s="528" t="n"/>
      <c r="F85" s="528" t="n"/>
      <c r="G85" s="528" t="n"/>
      <c r="H85" s="528" t="n"/>
      <c r="I85" s="529" t="n"/>
      <c r="J85" s="530">
        <f>SUM(C84:K84)</f>
        <v/>
      </c>
      <c r="K85" s="529" t="n"/>
    </row>
    <row r="86" ht="15.5" customHeight="1">
      <c r="B86" s="324" t="inlineStr">
        <is>
          <t>@[Rs. 9000 p.m. with Growth @ 20% p.a.]</t>
        </is>
      </c>
    </row>
    <row r="87" ht="15.5" customHeight="1">
      <c r="B87" s="324" t="inlineStr">
        <is>
          <t>*[=FV(8%,Year to Retirement,,-Contribution towards retirement corpus)]</t>
        </is>
      </c>
    </row>
    <row r="89">
      <c r="B89" s="346" t="inlineStr">
        <is>
          <t>Computation of additional investments to be done to meet shortfall of Corpus</t>
        </is>
      </c>
    </row>
    <row r="90" ht="15.5" customHeight="1">
      <c r="B90" s="315" t="inlineStr">
        <is>
          <t xml:space="preserve">3. In this case Corpus needed for retirement </t>
        </is>
      </c>
      <c r="C90" s="150">
        <f>E74</f>
        <v/>
      </c>
    </row>
    <row r="91">
      <c r="B91" s="22" t="inlineStr">
        <is>
          <t>Projected Corpus based on his current investments plan</t>
        </is>
      </c>
      <c r="C91" s="152">
        <f>J85</f>
        <v/>
      </c>
    </row>
    <row r="92">
      <c r="B92" s="22" t="inlineStr">
        <is>
          <t>Shortfall in corpus</t>
        </is>
      </c>
      <c r="C92" s="150">
        <f>C90-C91</f>
        <v/>
      </c>
    </row>
    <row r="94">
      <c r="B94" s="22" t="inlineStr">
        <is>
          <t>Years to retire</t>
        </is>
      </c>
      <c r="C94">
        <f>E60</f>
        <v/>
      </c>
    </row>
    <row r="95" ht="14.5" customHeight="1">
      <c r="B95" s="337" t="inlineStr">
        <is>
          <t>Expected return on investment (Post Tax)</t>
        </is>
      </c>
      <c r="C95" s="97" t="n">
        <v>0.09</v>
      </c>
    </row>
    <row r="96">
      <c r="B96" s="22" t="inlineStr">
        <is>
          <t>Additional monthly investments to be done</t>
        </is>
      </c>
      <c r="C96" s="486">
        <f>PMT(C95/12,C94*12,0,-C92)</f>
        <v/>
      </c>
    </row>
    <row r="97" ht="15.5" customHeight="1">
      <c r="A97" s="22" t="n"/>
      <c r="B97" s="306" t="n"/>
    </row>
    <row r="98" ht="15.5" customHeight="1">
      <c r="A98" s="22" t="n"/>
      <c r="B98" s="306" t="n"/>
    </row>
    <row r="99" ht="15.5" customHeight="1">
      <c r="A99" s="22" t="n"/>
      <c r="B99" s="306" t="n"/>
    </row>
    <row r="100">
      <c r="A100" s="22" t="n"/>
      <c r="B100" s="296" t="inlineStr">
        <is>
          <t xml:space="preserve">Stepping up investments </t>
        </is>
      </c>
    </row>
    <row r="101">
      <c r="B101" s="22" t="inlineStr">
        <is>
          <t>Stepping up of investments each year can help to start SIP with lower value. Also it helps to reach corpus creation at faster manner</t>
        </is>
      </c>
    </row>
    <row r="104">
      <c r="B104" s="296" t="inlineStr">
        <is>
          <t>Accumulation Products</t>
        </is>
      </c>
    </row>
    <row r="105">
      <c r="B105" s="22" t="inlineStr">
        <is>
          <t>PFs, Pension Funds, Mutual Funds etc</t>
        </is>
      </c>
    </row>
    <row r="108">
      <c r="B108" s="296" t="inlineStr">
        <is>
          <t>Distribution Products</t>
        </is>
      </c>
    </row>
    <row r="109">
      <c r="B109" s="22" t="inlineStr">
        <is>
          <t xml:space="preserve">Annuity from Pensions, SWP from MF (beneficial as no tax is there on capital withdrawl portion) </t>
        </is>
      </c>
    </row>
  </sheetData>
  <mergeCells count="4">
    <mergeCell ref="B85:I85"/>
    <mergeCell ref="J85:K85"/>
    <mergeCell ref="J37:K37"/>
    <mergeCell ref="B37:I3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topLeftCell="A6" zoomScale="85" zoomScaleNormal="85" workbookViewId="0">
      <selection activeCell="C5" sqref="C5"/>
    </sheetView>
  </sheetViews>
  <sheetFormatPr baseColWidth="8" defaultRowHeight="14"/>
  <cols>
    <col width="7.6640625" bestFit="1" customWidth="1" min="2" max="2"/>
    <col width="27" customWidth="1" min="3" max="3"/>
    <col width="14.58203125" customWidth="1" min="4" max="8"/>
    <col width="31.1640625" customWidth="1" min="9" max="9"/>
  </cols>
  <sheetData>
    <row r="2" ht="14.5" customHeight="1" thickBot="1">
      <c r="B2" s="65" t="inlineStr">
        <is>
          <t xml:space="preserve">Ranking Of Assets, based on safety, liquidity, Returns, Divisibility - For Academic Purpose only </t>
        </is>
      </c>
    </row>
    <row r="3" ht="36" customHeight="1">
      <c r="B3" s="271" t="inlineStr">
        <is>
          <t>SL No</t>
        </is>
      </c>
      <c r="C3" s="272" t="inlineStr">
        <is>
          <t>Asset Class</t>
        </is>
      </c>
      <c r="D3" s="271" t="inlineStr">
        <is>
          <t>Safety</t>
        </is>
      </c>
      <c r="E3" s="273" t="inlineStr">
        <is>
          <t>Liquidity</t>
        </is>
      </c>
      <c r="F3" s="273" t="inlineStr">
        <is>
          <t>Post Tax Returns</t>
        </is>
      </c>
      <c r="G3" s="272" t="inlineStr">
        <is>
          <t>Divisibility</t>
        </is>
      </c>
      <c r="H3" s="274" t="inlineStr">
        <is>
          <t>Period of Holding</t>
        </is>
      </c>
      <c r="I3" s="275" t="inlineStr">
        <is>
          <t>Suitable for</t>
        </is>
      </c>
    </row>
    <row r="4" ht="23.5" customHeight="1">
      <c r="B4" s="276" t="n">
        <v>1</v>
      </c>
      <c r="C4" s="277" t="inlineStr">
        <is>
          <t>FD</t>
        </is>
      </c>
      <c r="D4" s="276" t="n">
        <v>5</v>
      </c>
      <c r="E4" s="278" t="n">
        <v>2</v>
      </c>
      <c r="F4" s="278" t="n">
        <v>2</v>
      </c>
      <c r="G4" s="279" t="n">
        <v>2</v>
      </c>
      <c r="H4" s="276" t="inlineStr">
        <is>
          <t>Long</t>
        </is>
      </c>
      <c r="I4" s="279" t="inlineStr">
        <is>
          <t>Assured Return</t>
        </is>
      </c>
    </row>
    <row r="5" ht="23.5" customHeight="1">
      <c r="B5" s="276" t="n">
        <v>2</v>
      </c>
      <c r="C5" s="277" t="inlineStr">
        <is>
          <t>Bonds</t>
        </is>
      </c>
      <c r="D5" s="276" t="n">
        <v>4</v>
      </c>
      <c r="E5" s="278" t="n">
        <v>2</v>
      </c>
      <c r="F5" s="278" t="n">
        <v>2</v>
      </c>
      <c r="G5" s="279" t="n">
        <v>3</v>
      </c>
      <c r="H5" s="276" t="inlineStr">
        <is>
          <t>Long</t>
        </is>
      </c>
      <c r="I5" s="279" t="inlineStr">
        <is>
          <t>Assured Return</t>
        </is>
      </c>
    </row>
    <row r="6" ht="23.5" customHeight="1">
      <c r="B6" s="276" t="n">
        <v>3</v>
      </c>
      <c r="C6" s="277" t="inlineStr">
        <is>
          <t>PPF</t>
        </is>
      </c>
      <c r="D6" s="276" t="n">
        <v>5</v>
      </c>
      <c r="E6" s="278" t="n">
        <v>1</v>
      </c>
      <c r="F6" s="278" t="n">
        <v>3</v>
      </c>
      <c r="G6" s="279" t="n">
        <v>1</v>
      </c>
      <c r="H6" s="276" t="inlineStr">
        <is>
          <t>Very Long</t>
        </is>
      </c>
      <c r="I6" s="279" t="inlineStr">
        <is>
          <t>Assured Return</t>
        </is>
      </c>
    </row>
    <row r="7" ht="23.5" customHeight="1">
      <c r="B7" s="276" t="n">
        <v>4</v>
      </c>
      <c r="C7" s="277" t="inlineStr">
        <is>
          <t>NPS (Hybrid)</t>
        </is>
      </c>
      <c r="D7" s="276" t="n">
        <v>4</v>
      </c>
      <c r="E7" s="278" t="n">
        <v>1</v>
      </c>
      <c r="F7" s="278" t="n">
        <v>4</v>
      </c>
      <c r="G7" s="279" t="n">
        <v>1</v>
      </c>
      <c r="H7" s="276" t="inlineStr">
        <is>
          <t>Very Long</t>
        </is>
      </c>
      <c r="I7" s="279" t="inlineStr">
        <is>
          <t>Retirement Planning</t>
        </is>
      </c>
    </row>
    <row r="8" ht="23.5" customHeight="1">
      <c r="B8" s="276" t="n">
        <v>5</v>
      </c>
      <c r="C8" s="277" t="inlineStr">
        <is>
          <t>Preference Shares</t>
        </is>
      </c>
      <c r="D8" s="276" t="n">
        <v>3</v>
      </c>
      <c r="E8" s="278" t="n">
        <v>2</v>
      </c>
      <c r="F8" s="278" t="n">
        <v>3</v>
      </c>
      <c r="G8" s="279" t="n">
        <v>3</v>
      </c>
      <c r="H8" s="276" t="inlineStr">
        <is>
          <t>Long</t>
        </is>
      </c>
      <c r="I8" s="279" t="inlineStr">
        <is>
          <t>Assured Return</t>
        </is>
      </c>
    </row>
    <row r="9" ht="23.5" customHeight="1">
      <c r="B9" s="276" t="n">
        <v>6</v>
      </c>
      <c r="C9" s="277" t="inlineStr">
        <is>
          <t>Equity</t>
        </is>
      </c>
      <c r="D9" s="276" t="n">
        <v>2</v>
      </c>
      <c r="E9" s="278" t="n">
        <v>4</v>
      </c>
      <c r="F9" s="278" t="n">
        <v>4</v>
      </c>
      <c r="G9" s="279" t="n">
        <v>5</v>
      </c>
      <c r="H9" s="276" t="inlineStr">
        <is>
          <t>Long</t>
        </is>
      </c>
      <c r="I9" s="279" t="inlineStr">
        <is>
          <t>Wealth Building</t>
        </is>
      </c>
    </row>
    <row r="10" ht="23.5" customHeight="1">
      <c r="B10" s="276" t="n">
        <v>7</v>
      </c>
      <c r="C10" s="277" t="inlineStr">
        <is>
          <t>Mutual Fund (Eq)</t>
        </is>
      </c>
      <c r="D10" s="276" t="n">
        <v>3</v>
      </c>
      <c r="E10" s="278" t="n">
        <v>4</v>
      </c>
      <c r="F10" s="278" t="n">
        <v>4</v>
      </c>
      <c r="G10" s="279" t="n">
        <v>5</v>
      </c>
      <c r="H10" s="276" t="inlineStr">
        <is>
          <t>Long</t>
        </is>
      </c>
      <c r="I10" s="279" t="inlineStr">
        <is>
          <t>Wealth Building</t>
        </is>
      </c>
    </row>
    <row r="11" ht="23.5" customHeight="1">
      <c r="B11" s="276" t="n">
        <v>8</v>
      </c>
      <c r="C11" s="277" t="inlineStr">
        <is>
          <t>Real Estate</t>
        </is>
      </c>
      <c r="D11" s="276" t="n">
        <v>5</v>
      </c>
      <c r="E11" s="278" t="n">
        <v>1</v>
      </c>
      <c r="F11" s="278" t="n">
        <v>4</v>
      </c>
      <c r="G11" s="279" t="n">
        <v>1</v>
      </c>
      <c r="H11" s="276" t="inlineStr">
        <is>
          <t>Very Long</t>
        </is>
      </c>
      <c r="I11" s="279" t="inlineStr">
        <is>
          <t>Wealth Building</t>
        </is>
      </c>
    </row>
    <row r="12" ht="23.5" customHeight="1">
      <c r="B12" s="276" t="n">
        <v>9</v>
      </c>
      <c r="C12" s="277" t="inlineStr">
        <is>
          <t>Gold</t>
        </is>
      </c>
      <c r="D12" s="276" t="n">
        <v>5</v>
      </c>
      <c r="E12" s="278" t="n">
        <v>4</v>
      </c>
      <c r="F12" s="278" t="n">
        <v>3</v>
      </c>
      <c r="G12" s="279" t="n">
        <v>2</v>
      </c>
      <c r="H12" s="276" t="inlineStr">
        <is>
          <t>Long</t>
        </is>
      </c>
      <c r="I12" s="279" t="inlineStr">
        <is>
          <t>Wealth Building</t>
        </is>
      </c>
    </row>
    <row r="13" ht="35" customHeight="1">
      <c r="B13" s="276" t="n">
        <v>10</v>
      </c>
      <c r="C13" s="277" t="inlineStr">
        <is>
          <t>Crypto</t>
        </is>
      </c>
      <c r="D13" s="276" t="n">
        <v>1</v>
      </c>
      <c r="E13" s="278" t="n">
        <v>4</v>
      </c>
      <c r="F13" s="278" t="inlineStr">
        <is>
          <t>Highly Volatile</t>
        </is>
      </c>
      <c r="G13" s="279" t="n">
        <v>4</v>
      </c>
      <c r="H13" s="276" t="inlineStr">
        <is>
          <t xml:space="preserve">Short </t>
        </is>
      </c>
      <c r="I13" s="279" t="inlineStr">
        <is>
          <t>High Returns</t>
        </is>
      </c>
    </row>
    <row r="14" ht="23.5" customHeight="1">
      <c r="B14" s="276" t="n">
        <v>11</v>
      </c>
      <c r="C14" s="277" t="inlineStr">
        <is>
          <t>REITs</t>
        </is>
      </c>
      <c r="D14" s="276" t="n">
        <v>3</v>
      </c>
      <c r="E14" s="278" t="n">
        <v>3</v>
      </c>
      <c r="F14" s="278" t="n">
        <v>3</v>
      </c>
      <c r="G14" s="279" t="n">
        <v>4</v>
      </c>
      <c r="H14" s="276" t="inlineStr">
        <is>
          <t>Long</t>
        </is>
      </c>
      <c r="I14" s="279" t="inlineStr">
        <is>
          <t>High Returns</t>
        </is>
      </c>
    </row>
    <row r="15" ht="23.5" customHeight="1">
      <c r="B15" s="276" t="n">
        <v>12</v>
      </c>
      <c r="C15" s="277" t="inlineStr">
        <is>
          <t>PMS</t>
        </is>
      </c>
      <c r="D15" s="276" t="n">
        <v>3</v>
      </c>
      <c r="E15" s="278" t="n">
        <v>3</v>
      </c>
      <c r="F15" s="278" t="n">
        <v>4</v>
      </c>
      <c r="G15" s="279" t="n">
        <v>3</v>
      </c>
      <c r="H15" s="276" t="inlineStr">
        <is>
          <t>Long</t>
        </is>
      </c>
      <c r="I15" s="279" t="inlineStr">
        <is>
          <t>Wealth Building</t>
        </is>
      </c>
    </row>
    <row r="16" ht="23.5" customHeight="1">
      <c r="B16" s="276" t="n">
        <v>13</v>
      </c>
      <c r="C16" s="277" t="inlineStr">
        <is>
          <t>Private Equity</t>
        </is>
      </c>
      <c r="D16" s="276" t="n">
        <v>2</v>
      </c>
      <c r="E16" s="278" t="n">
        <v>1</v>
      </c>
      <c r="F16" s="278" t="inlineStr">
        <is>
          <t>Very high</t>
        </is>
      </c>
      <c r="G16" s="279" t="n">
        <v>1</v>
      </c>
      <c r="H16" s="276" t="inlineStr">
        <is>
          <t>Long</t>
        </is>
      </c>
      <c r="I16" s="279" t="inlineStr">
        <is>
          <t>Very High Returns</t>
        </is>
      </c>
    </row>
    <row r="17" ht="35.5" customHeight="1" thickBot="1">
      <c r="B17" s="280" t="n">
        <v>14</v>
      </c>
      <c r="C17" s="281" t="inlineStr">
        <is>
          <t xml:space="preserve">Venture Capital </t>
        </is>
      </c>
      <c r="D17" s="280" t="n">
        <v>1</v>
      </c>
      <c r="E17" s="282" t="n">
        <v>1</v>
      </c>
      <c r="F17" s="282" t="inlineStr">
        <is>
          <t>Extremely high</t>
        </is>
      </c>
      <c r="G17" s="283" t="n">
        <v>1</v>
      </c>
      <c r="H17" s="280" t="inlineStr">
        <is>
          <t>Long</t>
        </is>
      </c>
      <c r="I17" s="283" t="inlineStr">
        <is>
          <t>Extremely High Returns</t>
        </is>
      </c>
    </row>
    <row r="20">
      <c r="B20" s="22" t="inlineStr">
        <is>
          <t>for Academic Purpose - Move to last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1"/>
  <sheetViews>
    <sheetView topLeftCell="A36" workbookViewId="0">
      <selection activeCell="D60" sqref="D60"/>
    </sheetView>
  </sheetViews>
  <sheetFormatPr baseColWidth="8" defaultRowHeight="14"/>
  <cols>
    <col width="56.1640625" customWidth="1" style="19" min="3" max="3"/>
    <col width="56.1640625" customWidth="1" style="20" min="4" max="4"/>
  </cols>
  <sheetData>
    <row r="1"/>
    <row r="2">
      <c r="C2" s="19" t="inlineStr">
        <is>
          <t>Risk Questannaire Link</t>
        </is>
      </c>
    </row>
    <row r="3"/>
    <row r="4"/>
    <row r="5">
      <c r="C5" s="10" t="n"/>
      <c r="D5" s="11" t="n"/>
    </row>
    <row r="6">
      <c r="C6" s="21" t="n"/>
      <c r="D6" s="12" t="n"/>
    </row>
    <row r="7">
      <c r="C7" s="21" t="n"/>
      <c r="D7" s="13" t="n"/>
    </row>
    <row r="8">
      <c r="C8" s="21" t="n"/>
      <c r="D8" s="13" t="n"/>
    </row>
    <row r="9">
      <c r="C9" s="21" t="n"/>
      <c r="D9" s="14" t="n"/>
    </row>
    <row r="10">
      <c r="C10" s="21" t="n"/>
      <c r="D10" s="15" t="n"/>
    </row>
    <row r="11">
      <c r="C11" s="21" t="n"/>
      <c r="D11" s="14" t="n"/>
    </row>
    <row r="12">
      <c r="C12" s="21" t="n"/>
      <c r="D12" s="14" t="n"/>
    </row>
    <row r="13" ht="28" customHeight="1">
      <c r="C13" s="21" t="n"/>
      <c r="D13" s="14" t="n"/>
    </row>
    <row r="14">
      <c r="C14" s="21" t="n"/>
      <c r="D14" s="14" t="n"/>
    </row>
    <row r="15">
      <c r="C15" s="21" t="n"/>
      <c r="D15" s="14" t="n"/>
    </row>
    <row r="16" ht="28" customHeight="1">
      <c r="C16" s="21" t="n"/>
      <c r="D16" s="14" t="n"/>
    </row>
    <row r="17" ht="56" customHeight="1">
      <c r="C17" s="21" t="n"/>
      <c r="D17" s="14" t="n"/>
    </row>
    <row r="18" ht="28" customHeight="1">
      <c r="C18" s="21" t="n"/>
      <c r="D18" s="14" t="n"/>
    </row>
    <row r="19" ht="28" customHeight="1">
      <c r="C19" s="21" t="n"/>
      <c r="D19" s="14" t="n"/>
    </row>
    <row r="20">
      <c r="C20" s="21" t="n"/>
      <c r="D20" s="16" t="n"/>
    </row>
    <row r="21">
      <c r="C21" s="21" t="n"/>
      <c r="D21" s="14" t="n"/>
    </row>
    <row r="22">
      <c r="C22" s="21" t="n"/>
      <c r="D22" s="14" t="n"/>
    </row>
    <row r="23">
      <c r="C23" s="21" t="n"/>
      <c r="D23" s="14" t="n"/>
    </row>
    <row r="24" ht="28" customHeight="1">
      <c r="C24" s="21" t="n"/>
      <c r="D24" s="14" t="n"/>
    </row>
    <row r="25" ht="28" customHeight="1">
      <c r="C25" s="21" t="n"/>
      <c r="D25" s="14" t="n"/>
    </row>
    <row r="26" ht="28" customHeight="1">
      <c r="C26" s="21" t="n"/>
      <c r="D26" s="14" t="n"/>
    </row>
    <row r="27" ht="28" customHeight="1">
      <c r="C27" s="21" t="n"/>
      <c r="D27" s="14" t="n"/>
    </row>
    <row r="28" ht="28" customHeight="1">
      <c r="C28" s="21" t="n"/>
      <c r="D28" s="14" t="n"/>
    </row>
    <row r="29" ht="28" customHeight="1">
      <c r="C29" s="21" t="n"/>
      <c r="D29" s="14" t="n"/>
    </row>
    <row r="30" ht="28" customHeight="1">
      <c r="C30" s="21" t="n"/>
      <c r="D30" s="14" t="n"/>
    </row>
    <row r="31" ht="42" customHeight="1">
      <c r="C31" s="21" t="n"/>
      <c r="D31" s="14" t="n"/>
    </row>
    <row r="32" ht="42" customHeight="1">
      <c r="C32" s="21" t="n"/>
      <c r="D32" s="14" t="n"/>
    </row>
    <row r="33" ht="28" customHeight="1">
      <c r="C33" s="21" t="n"/>
      <c r="D33" s="14" t="n"/>
    </row>
    <row r="34" ht="28" customHeight="1">
      <c r="C34" s="21" t="n"/>
      <c r="D34" s="14" t="n"/>
    </row>
    <row r="35" ht="28" customHeight="1">
      <c r="C35" s="21" t="n"/>
      <c r="D35" s="14" t="n"/>
    </row>
    <row r="36" ht="28" customHeight="1">
      <c r="C36" s="21" t="n"/>
      <c r="D36" s="14" t="n"/>
    </row>
    <row r="37" ht="28" customHeight="1">
      <c r="C37" s="21" t="n"/>
      <c r="D37" s="14" t="n"/>
    </row>
    <row r="38" ht="28" customHeight="1">
      <c r="C38" s="21" t="n"/>
      <c r="D38" s="14" t="n"/>
    </row>
    <row r="39" ht="28" customHeight="1">
      <c r="C39" s="21" t="n"/>
      <c r="D39" s="14" t="n"/>
    </row>
    <row r="40" ht="28" customHeight="1">
      <c r="C40" s="21" t="n"/>
      <c r="D40" s="14" t="n"/>
    </row>
    <row r="41" hidden="1">
      <c r="C41" s="21" t="n"/>
      <c r="D41" s="14" t="n"/>
    </row>
    <row r="42" hidden="1">
      <c r="C42" s="21" t="n"/>
      <c r="D42" s="14" t="n"/>
    </row>
    <row r="43" hidden="1" ht="28" customHeight="1">
      <c r="C43" s="21" t="n"/>
      <c r="D43" s="14" t="n"/>
    </row>
    <row r="44" hidden="1" ht="28" customHeight="1">
      <c r="C44" s="21" t="n"/>
      <c r="D44" s="14" t="n"/>
    </row>
    <row r="45" hidden="1" ht="28" customHeight="1">
      <c r="C45" s="21" t="n"/>
      <c r="D45" s="14" t="n"/>
    </row>
    <row r="46" hidden="1" ht="28" customHeight="1">
      <c r="C46" s="21" t="n"/>
      <c r="D46" s="14" t="n"/>
    </row>
    <row r="47" hidden="1" ht="28" customHeight="1">
      <c r="C47" s="21" t="n"/>
      <c r="D47" s="14" t="n"/>
    </row>
    <row r="48" hidden="1" ht="28" customHeight="1">
      <c r="C48" s="21" t="n"/>
      <c r="D48" s="14" t="n"/>
    </row>
    <row r="49" hidden="1" ht="28" customHeight="1">
      <c r="C49" s="21" t="n"/>
      <c r="D49" s="14" t="n"/>
    </row>
    <row r="50" hidden="1" ht="42" customHeight="1">
      <c r="C50" s="21" t="n"/>
      <c r="D50" s="14" t="n"/>
    </row>
    <row r="51" hidden="1" ht="42" customHeight="1">
      <c r="C51" s="21" t="n"/>
      <c r="D51" s="14" t="n"/>
    </row>
    <row r="52" hidden="1" ht="28" customHeight="1">
      <c r="C52" s="21" t="n"/>
      <c r="D52" s="14" t="n"/>
    </row>
    <row r="53" hidden="1" ht="28" customHeight="1">
      <c r="C53" s="21" t="n"/>
      <c r="D53" s="14" t="n"/>
    </row>
    <row r="54" hidden="1" ht="28" customHeight="1">
      <c r="C54" s="21" t="n"/>
      <c r="D54" s="14" t="n"/>
    </row>
    <row r="55" hidden="1" ht="28" customHeight="1">
      <c r="C55" s="21" t="n"/>
      <c r="D55" s="14" t="n"/>
    </row>
    <row r="56" hidden="1" ht="28" customHeight="1">
      <c r="C56" s="21" t="n"/>
      <c r="D56" s="14" t="n"/>
    </row>
    <row r="57" hidden="1" ht="28" customHeight="1">
      <c r="C57" s="21" t="n"/>
      <c r="D57" s="14" t="n"/>
    </row>
    <row r="58" hidden="1" ht="28" customHeight="1">
      <c r="C58" s="21" t="n"/>
      <c r="D58" s="14" t="n"/>
    </row>
    <row r="59" hidden="1" ht="28" customHeight="1">
      <c r="C59" s="21" t="n"/>
      <c r="D59" s="14" t="n"/>
    </row>
    <row r="60">
      <c r="C60" s="21" t="n"/>
      <c r="D60" s="17" t="n"/>
    </row>
    <row r="61">
      <c r="C61" s="18" t="n"/>
      <c r="D61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2026-06-24T04:07:14Z</dcterms:created>
  <dcterms:modified xmlns:dcterms="http://purl.org/dc/terms/" xmlns:xsi="http://www.w3.org/2001/XMLSchema-instance" xsi:type="dcterms:W3CDTF">2026-06-24T04:07:14Z</dcterms:modified>
  <cp:lastModifiedBy>Niranjan Goyal</cp:lastModifiedBy>
</cp:coreProperties>
</file>